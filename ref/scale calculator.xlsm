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27a9c79abfe42a5/Documenti/sequencer/design/"/>
    </mc:Choice>
  </mc:AlternateContent>
  <xr:revisionPtr revIDLastSave="1" documentId="13_ncr:1_{00694965-22FD-4AED-8204-484937EC83C5}" xr6:coauthVersionLast="47" xr6:coauthVersionMax="47" xr10:uidLastSave="{13A49E05-C541-4229-B1DB-8669081FB6EF}"/>
  <bookViews>
    <workbookView xWindow="-93" yWindow="-93" windowWidth="25786" windowHeight="15466" xr2:uid="{00000000-000D-0000-FFFF-FFFF00000000}"/>
  </bookViews>
  <sheets>
    <sheet name="Sheet4" sheetId="4" r:id="rId1"/>
    <sheet name="Sheet3" sheetId="3" r:id="rId2"/>
    <sheet name="Sheet2" sheetId="2" r:id="rId3"/>
    <sheet name="Sheet1" sheetId="1" r:id="rId4"/>
  </sheets>
  <definedNames>
    <definedName name="note_names">Sheet1!$B$1:$M$2</definedName>
    <definedName name="_xlnm.Print_Area" localSheetId="1">Sheet3!$B$2:$R$15</definedName>
    <definedName name="_xlnm.Print_Area" localSheetId="0">Sheet4!$A$1:$X$125</definedName>
    <definedName name="source_cells">Sheet1!$V$27:$V$50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8" i="1" l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27" i="1"/>
  <c r="F35" i="3"/>
  <c r="F34" i="3"/>
  <c r="F33" i="3"/>
  <c r="Q29" i="3"/>
  <c r="Q28" i="3"/>
  <c r="Q27" i="3"/>
  <c r="Q26" i="3"/>
  <c r="Q25" i="3"/>
  <c r="Q24" i="3"/>
  <c r="Q23" i="3"/>
  <c r="Q22" i="3"/>
  <c r="Q21" i="3"/>
  <c r="Q20" i="3"/>
  <c r="Q19" i="3"/>
  <c r="Q18" i="3"/>
  <c r="O29" i="3"/>
  <c r="O28" i="3"/>
  <c r="O27" i="3"/>
  <c r="O26" i="3"/>
  <c r="O25" i="3"/>
  <c r="O24" i="3"/>
  <c r="O23" i="3"/>
  <c r="O22" i="3"/>
  <c r="O21" i="3"/>
  <c r="O20" i="3"/>
  <c r="O19" i="3"/>
  <c r="O18" i="3"/>
  <c r="M29" i="3"/>
  <c r="M28" i="3"/>
  <c r="M27" i="3"/>
  <c r="M26" i="3"/>
  <c r="M25" i="3"/>
  <c r="M24" i="3"/>
  <c r="M23" i="3"/>
  <c r="M22" i="3"/>
  <c r="M21" i="3"/>
  <c r="M20" i="3"/>
  <c r="M19" i="3"/>
  <c r="M18" i="3"/>
  <c r="K29" i="3"/>
  <c r="K28" i="3"/>
  <c r="K27" i="3"/>
  <c r="K26" i="3"/>
  <c r="K25" i="3"/>
  <c r="K24" i="3"/>
  <c r="K23" i="3"/>
  <c r="K22" i="3"/>
  <c r="K21" i="3"/>
  <c r="K20" i="3"/>
  <c r="K19" i="3"/>
  <c r="K18" i="3"/>
  <c r="I29" i="3"/>
  <c r="I28" i="3"/>
  <c r="I27" i="3"/>
  <c r="I26" i="3"/>
  <c r="I25" i="3"/>
  <c r="I24" i="3"/>
  <c r="I23" i="3"/>
  <c r="I22" i="3"/>
  <c r="I21" i="3"/>
  <c r="I20" i="3"/>
  <c r="I19" i="3"/>
  <c r="I18" i="3"/>
  <c r="G29" i="3"/>
  <c r="G28" i="3"/>
  <c r="G27" i="3"/>
  <c r="G26" i="3"/>
  <c r="G25" i="3"/>
  <c r="G24" i="3"/>
  <c r="G23" i="3"/>
  <c r="G22" i="3"/>
  <c r="G21" i="3"/>
  <c r="G20" i="3"/>
  <c r="G19" i="3"/>
  <c r="G18" i="3"/>
  <c r="E29" i="3"/>
  <c r="E28" i="3"/>
  <c r="E27" i="3"/>
  <c r="E26" i="3"/>
  <c r="E25" i="3"/>
  <c r="E24" i="3"/>
  <c r="E23" i="3"/>
  <c r="E22" i="3"/>
  <c r="E21" i="3"/>
  <c r="E20" i="3"/>
  <c r="E19" i="3"/>
  <c r="E18" i="3"/>
  <c r="R29" i="3"/>
  <c r="R28" i="3"/>
  <c r="R27" i="3"/>
  <c r="R26" i="3"/>
  <c r="R25" i="3"/>
  <c r="R24" i="3"/>
  <c r="R23" i="3"/>
  <c r="R22" i="3"/>
  <c r="R21" i="3"/>
  <c r="R20" i="3"/>
  <c r="R19" i="3"/>
  <c r="R18" i="3"/>
  <c r="P29" i="3"/>
  <c r="P28" i="3"/>
  <c r="P27" i="3"/>
  <c r="P26" i="3"/>
  <c r="P25" i="3"/>
  <c r="P24" i="3"/>
  <c r="P23" i="3"/>
  <c r="P22" i="3"/>
  <c r="P21" i="3"/>
  <c r="P20" i="3"/>
  <c r="P19" i="3"/>
  <c r="P18" i="3"/>
  <c r="N29" i="3"/>
  <c r="N28" i="3"/>
  <c r="N27" i="3"/>
  <c r="N26" i="3"/>
  <c r="N25" i="3"/>
  <c r="N24" i="3"/>
  <c r="N23" i="3"/>
  <c r="N22" i="3"/>
  <c r="N21" i="3"/>
  <c r="N20" i="3"/>
  <c r="N19" i="3"/>
  <c r="N18" i="3"/>
  <c r="L29" i="3"/>
  <c r="L28" i="3"/>
  <c r="L27" i="3"/>
  <c r="L26" i="3"/>
  <c r="L25" i="3"/>
  <c r="L24" i="3"/>
  <c r="L23" i="3"/>
  <c r="L22" i="3"/>
  <c r="L21" i="3"/>
  <c r="L20" i="3"/>
  <c r="L19" i="3"/>
  <c r="L18" i="3"/>
  <c r="J29" i="3"/>
  <c r="J28" i="3"/>
  <c r="J27" i="3"/>
  <c r="J26" i="3"/>
  <c r="J25" i="3"/>
  <c r="J24" i="3"/>
  <c r="J23" i="3"/>
  <c r="J22" i="3"/>
  <c r="J21" i="3"/>
  <c r="J20" i="3"/>
  <c r="J19" i="3"/>
  <c r="J18" i="3"/>
  <c r="H29" i="3"/>
  <c r="H28" i="3"/>
  <c r="H27" i="3"/>
  <c r="H26" i="3"/>
  <c r="H25" i="3"/>
  <c r="H24" i="3"/>
  <c r="H23" i="3"/>
  <c r="H22" i="3"/>
  <c r="H21" i="3"/>
  <c r="H20" i="3"/>
  <c r="H19" i="3"/>
  <c r="H18" i="3"/>
  <c r="F19" i="3"/>
  <c r="F20" i="3"/>
  <c r="F21" i="3"/>
  <c r="F22" i="3"/>
  <c r="F23" i="3"/>
  <c r="F24" i="3"/>
  <c r="F25" i="3"/>
  <c r="F26" i="3"/>
  <c r="F27" i="3"/>
  <c r="F28" i="3"/>
  <c r="F29" i="3"/>
  <c r="F18" i="3"/>
  <c r="E3" i="4"/>
  <c r="E2" i="4"/>
  <c r="E5" i="4"/>
  <c r="E6" i="4"/>
  <c r="D7" i="4"/>
  <c r="D9" i="4" s="1"/>
  <c r="D10" i="4" s="1"/>
  <c r="D12" i="4" s="1"/>
  <c r="D13" i="4" s="1"/>
  <c r="D14" i="4" s="1"/>
  <c r="D16" i="4" s="1"/>
  <c r="D17" i="4" s="1"/>
  <c r="D19" i="4" s="1"/>
  <c r="D20" i="4" s="1"/>
  <c r="D22" i="4" s="1"/>
  <c r="D23" i="4" s="1"/>
  <c r="D24" i="4" s="1"/>
  <c r="D26" i="4" s="1"/>
  <c r="D27" i="4" s="1"/>
  <c r="D29" i="4" s="1"/>
  <c r="D30" i="4" s="1"/>
  <c r="D31" i="4" s="1"/>
  <c r="D33" i="4" s="1"/>
  <c r="D34" i="4" s="1"/>
  <c r="D36" i="4" s="1"/>
  <c r="D37" i="4" s="1"/>
  <c r="D39" i="4" s="1"/>
  <c r="D40" i="4" s="1"/>
  <c r="D41" i="4" s="1"/>
  <c r="D43" i="4" s="1"/>
  <c r="D44" i="4" s="1"/>
  <c r="D46" i="4" s="1"/>
  <c r="D47" i="4" s="1"/>
  <c r="D48" i="4" s="1"/>
  <c r="D50" i="4" s="1"/>
  <c r="D51" i="4" s="1"/>
  <c r="D53" i="4" s="1"/>
  <c r="D54" i="4" s="1"/>
  <c r="D56" i="4" s="1"/>
  <c r="D57" i="4" s="1"/>
  <c r="D58" i="4" s="1"/>
  <c r="D60" i="4" s="1"/>
  <c r="D61" i="4" s="1"/>
  <c r="D63" i="4" s="1"/>
  <c r="D64" i="4" s="1"/>
  <c r="D65" i="4" s="1"/>
  <c r="D67" i="4" s="1"/>
  <c r="D68" i="4" s="1"/>
  <c r="D70" i="4" s="1"/>
  <c r="D71" i="4" s="1"/>
  <c r="D73" i="4" s="1"/>
  <c r="D74" i="4" s="1"/>
  <c r="D75" i="4" s="1"/>
  <c r="D77" i="4" s="1"/>
  <c r="D78" i="4" s="1"/>
  <c r="D80" i="4" s="1"/>
  <c r="D81" i="4" s="1"/>
  <c r="D82" i="4" s="1"/>
  <c r="D84" i="4" s="1"/>
  <c r="D85" i="4" s="1"/>
  <c r="D87" i="4" s="1"/>
  <c r="D88" i="4" s="1"/>
  <c r="D90" i="4" s="1"/>
  <c r="D91" i="4" s="1"/>
  <c r="D92" i="4" s="1"/>
  <c r="D94" i="4" s="1"/>
  <c r="D95" i="4" s="1"/>
  <c r="D97" i="4" s="1"/>
  <c r="D98" i="4" s="1"/>
  <c r="D99" i="4" s="1"/>
  <c r="D101" i="4" s="1"/>
  <c r="D102" i="4" s="1"/>
  <c r="D104" i="4" s="1"/>
  <c r="D105" i="4" s="1"/>
  <c r="D107" i="4" s="1"/>
  <c r="D108" i="4" s="1"/>
  <c r="D109" i="4" s="1"/>
  <c r="D111" i="4" s="1"/>
  <c r="D112" i="4" s="1"/>
  <c r="D114" i="4" s="1"/>
  <c r="D115" i="4" s="1"/>
  <c r="D116" i="4" s="1"/>
  <c r="D118" i="4" s="1"/>
  <c r="D119" i="4" s="1"/>
  <c r="D121" i="4" s="1"/>
  <c r="D122" i="4" s="1"/>
  <c r="D124" i="4" s="1"/>
  <c r="D125" i="4" s="1"/>
  <c r="E125" i="4" s="1"/>
  <c r="Q41" i="2"/>
  <c r="Q39" i="2"/>
  <c r="Q37" i="2"/>
  <c r="Q42" i="2"/>
  <c r="Q40" i="2"/>
  <c r="Q38" i="2"/>
  <c r="Q36" i="2"/>
  <c r="K39" i="2"/>
  <c r="R39" i="2" s="1"/>
  <c r="L39" i="2"/>
  <c r="S39" i="2" s="1"/>
  <c r="M39" i="2"/>
  <c r="T39" i="2" s="1"/>
  <c r="N39" i="2"/>
  <c r="U39" i="2" s="1"/>
  <c r="O39" i="2"/>
  <c r="V39" i="2" s="1"/>
  <c r="P39" i="2"/>
  <c r="W39" i="2" s="1"/>
  <c r="K37" i="2"/>
  <c r="R37" i="2" s="1"/>
  <c r="L37" i="2"/>
  <c r="S37" i="2" s="1"/>
  <c r="M37" i="2"/>
  <c r="T37" i="2" s="1"/>
  <c r="N37" i="2"/>
  <c r="U37" i="2" s="1"/>
  <c r="O37" i="2"/>
  <c r="V37" i="2" s="1"/>
  <c r="P37" i="2"/>
  <c r="W37" i="2" s="1"/>
  <c r="K42" i="2"/>
  <c r="R42" i="2" s="1"/>
  <c r="L42" i="2"/>
  <c r="S42" i="2" s="1"/>
  <c r="M42" i="2"/>
  <c r="T42" i="2" s="1"/>
  <c r="N42" i="2"/>
  <c r="U42" i="2" s="1"/>
  <c r="O42" i="2"/>
  <c r="V42" i="2" s="1"/>
  <c r="P42" i="2"/>
  <c r="W42" i="2" s="1"/>
  <c r="K40" i="2"/>
  <c r="R40" i="2" s="1"/>
  <c r="L40" i="2"/>
  <c r="S40" i="2" s="1"/>
  <c r="M40" i="2"/>
  <c r="T40" i="2" s="1"/>
  <c r="N40" i="2"/>
  <c r="U40" i="2" s="1"/>
  <c r="O40" i="2"/>
  <c r="V40" i="2" s="1"/>
  <c r="P40" i="2"/>
  <c r="W40" i="2" s="1"/>
  <c r="K38" i="2"/>
  <c r="R38" i="2" s="1"/>
  <c r="L38" i="2"/>
  <c r="S38" i="2" s="1"/>
  <c r="M38" i="2"/>
  <c r="T38" i="2" s="1"/>
  <c r="N38" i="2"/>
  <c r="U38" i="2" s="1"/>
  <c r="O38" i="2"/>
  <c r="V38" i="2" s="1"/>
  <c r="P38" i="2"/>
  <c r="W38" i="2" s="1"/>
  <c r="K36" i="2"/>
  <c r="R36" i="2" s="1"/>
  <c r="L36" i="2"/>
  <c r="S36" i="2" s="1"/>
  <c r="M36" i="2"/>
  <c r="T36" i="2" s="1"/>
  <c r="N36" i="2"/>
  <c r="U36" i="2" s="1"/>
  <c r="O36" i="2"/>
  <c r="V36" i="2" s="1"/>
  <c r="P36" i="2"/>
  <c r="W36" i="2" s="1"/>
  <c r="L41" i="2"/>
  <c r="S41" i="2" s="1"/>
  <c r="M41" i="2"/>
  <c r="T41" i="2" s="1"/>
  <c r="N41" i="2"/>
  <c r="U41" i="2" s="1"/>
  <c r="O41" i="2"/>
  <c r="V41" i="2" s="1"/>
  <c r="P41" i="2"/>
  <c r="W41" i="2" s="1"/>
  <c r="K41" i="2"/>
  <c r="R41" i="2" s="1"/>
  <c r="B22" i="2"/>
  <c r="C22" i="2" s="1"/>
  <c r="W23" i="2" s="1"/>
  <c r="E61" i="4" l="1"/>
  <c r="E40" i="4"/>
  <c r="E43" i="4"/>
  <c r="E64" i="4"/>
  <c r="E84" i="4"/>
  <c r="E41" i="4"/>
  <c r="E60" i="4"/>
  <c r="E22" i="4"/>
  <c r="E7" i="4"/>
  <c r="E81" i="4"/>
  <c r="E10" i="4"/>
  <c r="E82" i="4"/>
  <c r="E14" i="4"/>
  <c r="E17" i="4"/>
  <c r="E104" i="4"/>
  <c r="E20" i="4"/>
  <c r="E105" i="4"/>
  <c r="E36" i="4"/>
  <c r="E37" i="4"/>
  <c r="E39" i="4"/>
  <c r="E58" i="4"/>
  <c r="E63" i="4"/>
  <c r="E85" i="4"/>
  <c r="E108" i="4"/>
  <c r="E87" i="4"/>
  <c r="E109" i="4"/>
  <c r="E111" i="4"/>
  <c r="E23" i="4"/>
  <c r="E46" i="4"/>
  <c r="E68" i="4"/>
  <c r="E114" i="4"/>
  <c r="E92" i="4"/>
  <c r="E65" i="4"/>
  <c r="E88" i="4"/>
  <c r="E67" i="4"/>
  <c r="E44" i="4"/>
  <c r="E90" i="4"/>
  <c r="E112" i="4"/>
  <c r="E91" i="4"/>
  <c r="E48" i="4"/>
  <c r="E94" i="4"/>
  <c r="E50" i="4"/>
  <c r="E118" i="4"/>
  <c r="E29" i="4"/>
  <c r="E12" i="4"/>
  <c r="E75" i="4"/>
  <c r="E13" i="4"/>
  <c r="E31" i="4"/>
  <c r="E54" i="4"/>
  <c r="E77" i="4"/>
  <c r="E99" i="4"/>
  <c r="E122" i="4"/>
  <c r="E95" i="4"/>
  <c r="E74" i="4"/>
  <c r="E119" i="4"/>
  <c r="E30" i="4"/>
  <c r="E98" i="4"/>
  <c r="E16" i="4"/>
  <c r="E33" i="4"/>
  <c r="E56" i="4"/>
  <c r="E78" i="4"/>
  <c r="E101" i="4"/>
  <c r="E124" i="4"/>
  <c r="E107" i="4"/>
  <c r="E24" i="4"/>
  <c r="E47" i="4"/>
  <c r="E70" i="4"/>
  <c r="E115" i="4"/>
  <c r="E26" i="4"/>
  <c r="E71" i="4"/>
  <c r="E116" i="4"/>
  <c r="E27" i="4"/>
  <c r="E73" i="4"/>
  <c r="E9" i="4"/>
  <c r="E51" i="4"/>
  <c r="E97" i="4"/>
  <c r="E53" i="4"/>
  <c r="E121" i="4"/>
  <c r="E19" i="4"/>
  <c r="E34" i="4"/>
  <c r="E57" i="4"/>
  <c r="E80" i="4"/>
  <c r="E102" i="4"/>
  <c r="D22" i="2"/>
  <c r="B23" i="2"/>
  <c r="E22" i="2" l="1"/>
  <c r="C23" i="2"/>
  <c r="W24" i="2" l="1"/>
  <c r="B24" i="2"/>
  <c r="V24" i="2"/>
  <c r="F22" i="2"/>
  <c r="D23" i="2"/>
  <c r="C24" i="2" s="1"/>
  <c r="B25" i="2" l="1"/>
  <c r="W25" i="2"/>
  <c r="G22" i="2"/>
  <c r="E23" i="2"/>
  <c r="D24" i="2" s="1"/>
  <c r="C25" i="2" s="1"/>
  <c r="U25" i="2"/>
  <c r="V25" i="2"/>
  <c r="U26" i="2" l="1"/>
  <c r="T26" i="2"/>
  <c r="V26" i="2"/>
  <c r="W26" i="2"/>
  <c r="B26" i="2"/>
  <c r="H22" i="2"/>
  <c r="F23" i="2"/>
  <c r="E24" i="2" s="1"/>
  <c r="D25" i="2" s="1"/>
  <c r="C26" i="2" s="1"/>
  <c r="U27" i="2" l="1"/>
  <c r="S27" i="2"/>
  <c r="T27" i="2"/>
  <c r="V27" i="2"/>
  <c r="G23" i="2"/>
  <c r="F24" i="2" s="1"/>
  <c r="E25" i="2" s="1"/>
  <c r="D26" i="2" s="1"/>
  <c r="C27" i="2" s="1"/>
  <c r="I22" i="2"/>
  <c r="W27" i="2"/>
  <c r="B27" i="2"/>
  <c r="U28" i="2" l="1"/>
  <c r="R28" i="2"/>
  <c r="H23" i="2"/>
  <c r="G24" i="2" s="1"/>
  <c r="F25" i="2" s="1"/>
  <c r="E26" i="2" s="1"/>
  <c r="D27" i="2" s="1"/>
  <c r="C28" i="2" s="1"/>
  <c r="J22" i="2"/>
  <c r="B28" i="2"/>
  <c r="W28" i="2"/>
  <c r="T28" i="2"/>
  <c r="S28" i="2"/>
  <c r="V28" i="2"/>
  <c r="K22" i="2" l="1"/>
  <c r="I23" i="2"/>
  <c r="H24" i="2" s="1"/>
  <c r="G25" i="2" s="1"/>
  <c r="F26" i="2" s="1"/>
  <c r="E27" i="2" s="1"/>
  <c r="D28" i="2" s="1"/>
  <c r="L22" i="2" l="1"/>
  <c r="J23" i="2"/>
  <c r="I24" i="2" s="1"/>
  <c r="H25" i="2" s="1"/>
  <c r="G26" i="2" s="1"/>
  <c r="F27" i="2" s="1"/>
  <c r="E28" i="2" s="1"/>
  <c r="M22" i="2" l="1"/>
  <c r="K23" i="2"/>
  <c r="J24" i="2" s="1"/>
  <c r="I25" i="2" s="1"/>
  <c r="H26" i="2" s="1"/>
  <c r="G27" i="2" s="1"/>
  <c r="F28" i="2" s="1"/>
  <c r="N22" i="2" l="1"/>
  <c r="L23" i="2"/>
  <c r="K24" i="2" s="1"/>
  <c r="J25" i="2" s="1"/>
  <c r="I26" i="2" s="1"/>
  <c r="H27" i="2" s="1"/>
  <c r="G28" i="2" s="1"/>
  <c r="O22" i="2" l="1"/>
  <c r="M23" i="2"/>
  <c r="L24" i="2" s="1"/>
  <c r="K25" i="2" s="1"/>
  <c r="J26" i="2" s="1"/>
  <c r="I27" i="2" s="1"/>
  <c r="H28" i="2" s="1"/>
  <c r="P22" i="2" l="1"/>
  <c r="N23" i="2"/>
  <c r="M24" i="2" s="1"/>
  <c r="L25" i="2" s="1"/>
  <c r="K26" i="2" s="1"/>
  <c r="J27" i="2" s="1"/>
  <c r="I28" i="2" s="1"/>
  <c r="Q22" i="2" l="1"/>
  <c r="O23" i="2"/>
  <c r="N24" i="2" s="1"/>
  <c r="M25" i="2" s="1"/>
  <c r="L26" i="2" s="1"/>
  <c r="K27" i="2" s="1"/>
  <c r="J28" i="2" s="1"/>
  <c r="R22" i="2" l="1"/>
  <c r="P23" i="2"/>
  <c r="O24" i="2" s="1"/>
  <c r="N25" i="2" s="1"/>
  <c r="M26" i="2" s="1"/>
  <c r="L27" i="2" s="1"/>
  <c r="K28" i="2" s="1"/>
  <c r="S22" i="2" l="1"/>
  <c r="Q23" i="2"/>
  <c r="P24" i="2" s="1"/>
  <c r="O25" i="2" s="1"/>
  <c r="N26" i="2" s="1"/>
  <c r="M27" i="2" s="1"/>
  <c r="L28" i="2" s="1"/>
  <c r="T22" i="2" l="1"/>
  <c r="R23" i="2"/>
  <c r="Q24" i="2" s="1"/>
  <c r="P25" i="2" s="1"/>
  <c r="O26" i="2" s="1"/>
  <c r="N27" i="2" s="1"/>
  <c r="M28" i="2" s="1"/>
  <c r="U22" i="2" l="1"/>
  <c r="S23" i="2"/>
  <c r="R24" i="2" s="1"/>
  <c r="Q25" i="2" s="1"/>
  <c r="P26" i="2" s="1"/>
  <c r="O27" i="2" s="1"/>
  <c r="N28" i="2" s="1"/>
  <c r="V22" i="2" l="1"/>
  <c r="T23" i="2"/>
  <c r="S24" i="2" s="1"/>
  <c r="R25" i="2" s="1"/>
  <c r="Q26" i="2" s="1"/>
  <c r="P27" i="2" s="1"/>
  <c r="O28" i="2" s="1"/>
  <c r="W22" i="2" l="1"/>
  <c r="V23" i="2" s="1"/>
  <c r="U24" i="2" s="1"/>
  <c r="T25" i="2" s="1"/>
  <c r="S26" i="2" s="1"/>
  <c r="R27" i="2" s="1"/>
  <c r="Q28" i="2" s="1"/>
  <c r="U23" i="2"/>
  <c r="T24" i="2" s="1"/>
  <c r="S25" i="2" s="1"/>
  <c r="R26" i="2" s="1"/>
  <c r="Q27" i="2" s="1"/>
  <c r="P28" i="2" s="1"/>
</calcChain>
</file>

<file path=xl/sharedStrings.xml><?xml version="1.0" encoding="utf-8"?>
<sst xmlns="http://schemas.openxmlformats.org/spreadsheetml/2006/main" count="1909" uniqueCount="275">
  <si>
    <t>B</t>
  </si>
  <si>
    <t>#</t>
  </si>
  <si>
    <t>C</t>
  </si>
  <si>
    <t>D</t>
  </si>
  <si>
    <t>E</t>
  </si>
  <si>
    <t>F</t>
  </si>
  <si>
    <t>G</t>
  </si>
  <si>
    <t>A</t>
  </si>
  <si>
    <t>Ionian</t>
  </si>
  <si>
    <t>Dorian</t>
  </si>
  <si>
    <t>Phrigian</t>
  </si>
  <si>
    <t>Lydian</t>
  </si>
  <si>
    <t>Mixolidian</t>
  </si>
  <si>
    <t>Aeolian</t>
  </si>
  <si>
    <t>Locrian</t>
  </si>
  <si>
    <t>F#</t>
  </si>
  <si>
    <t>Bb</t>
  </si>
  <si>
    <t>Eb</t>
  </si>
  <si>
    <t>Ab</t>
  </si>
  <si>
    <t>Db</t>
  </si>
  <si>
    <t>Gb</t>
  </si>
  <si>
    <t>Cb</t>
  </si>
  <si>
    <t>C#</t>
  </si>
  <si>
    <t>Fb</t>
  </si>
  <si>
    <t>G#</t>
  </si>
  <si>
    <t>D#</t>
  </si>
  <si>
    <t>A#</t>
  </si>
  <si>
    <t>E#</t>
  </si>
  <si>
    <t>B#</t>
  </si>
  <si>
    <t>C#/Db</t>
  </si>
  <si>
    <t>D#/Eb</t>
  </si>
  <si>
    <t>F#/Gb</t>
  </si>
  <si>
    <t>G#/Ab</t>
  </si>
  <si>
    <t>A#/Bb</t>
  </si>
  <si>
    <t>E#/F</t>
  </si>
  <si>
    <t>Note select</t>
  </si>
  <si>
    <t>Gives this mode:</t>
  </si>
  <si>
    <t>Modifiers</t>
  </si>
  <si>
    <t>##</t>
  </si>
  <si>
    <t>###</t>
  </si>
  <si>
    <t>####</t>
  </si>
  <si>
    <t>#####</t>
  </si>
  <si>
    <t>######</t>
  </si>
  <si>
    <t>b</t>
  </si>
  <si>
    <t>bb</t>
  </si>
  <si>
    <t>bbb</t>
  </si>
  <si>
    <t>bbbb</t>
  </si>
  <si>
    <t>bbbbb</t>
  </si>
  <si>
    <t>Scale sequence</t>
  </si>
  <si>
    <t>Whites from</t>
  </si>
  <si>
    <t>Maj - Ionian</t>
  </si>
  <si>
    <t>Min - Aeolian</t>
  </si>
  <si>
    <t>Ionial</t>
  </si>
  <si>
    <t>Mixolydian</t>
  </si>
  <si>
    <t>C / Bb</t>
  </si>
  <si>
    <t>C# / Db</t>
  </si>
  <si>
    <t>D# / Eb</t>
  </si>
  <si>
    <t>E# / F</t>
  </si>
  <si>
    <t>F# / Gb</t>
  </si>
  <si>
    <t>G# / Ab</t>
  </si>
  <si>
    <t>A# / Bb</t>
  </si>
  <si>
    <t>E / Fb</t>
  </si>
  <si>
    <t>B / Cb</t>
  </si>
  <si>
    <t>Select</t>
  </si>
  <si>
    <t>Scale</t>
  </si>
  <si>
    <t>Play root from:</t>
  </si>
  <si>
    <t>Preset 1</t>
  </si>
  <si>
    <t>Preset 2</t>
  </si>
  <si>
    <t>Preset 3</t>
  </si>
  <si>
    <t>Preset 4</t>
  </si>
  <si>
    <t>Preset 6</t>
  </si>
  <si>
    <t>Preset 7</t>
  </si>
  <si>
    <t>Preset 8</t>
  </si>
  <si>
    <t>Preset 9</t>
  </si>
  <si>
    <t>Preset 10</t>
  </si>
  <si>
    <t>Preset 11</t>
  </si>
  <si>
    <t>Preset 12</t>
  </si>
  <si>
    <t>Preset 13</t>
  </si>
  <si>
    <t>Preset 14</t>
  </si>
  <si>
    <t>Preset 15</t>
  </si>
  <si>
    <t>Preset 16</t>
  </si>
  <si>
    <t>Preset 17</t>
  </si>
  <si>
    <t>Preset 18</t>
  </si>
  <si>
    <t>Preset 19</t>
  </si>
  <si>
    <t>Preset 20</t>
  </si>
  <si>
    <t>Preset 21</t>
  </si>
  <si>
    <t>Preset 22</t>
  </si>
  <si>
    <t>Preset 23</t>
  </si>
  <si>
    <t>Preset 24</t>
  </si>
  <si>
    <t>Preset 5 (load preset in selected half or store current settings)</t>
  </si>
  <si>
    <t>(tap) Reset transpose</t>
  </si>
  <si>
    <t>(tap) Transpose octave --</t>
  </si>
  <si>
    <t>(tap) Transpose octave ++</t>
  </si>
  <si>
    <t>(tap) Transpose semitone --</t>
  </si>
  <si>
    <t>(tap) Transpose semitone ++</t>
  </si>
  <si>
    <t>(tap) scale: 5 b      Db/C# Maj - Bb/A# min</t>
  </si>
  <si>
    <t>(tap) scale: 4 b      Ab/G# Maj - F min</t>
  </si>
  <si>
    <t>(tap) scale: 3 b      Eb/D# Maj - C min</t>
  </si>
  <si>
    <t>(tap) scale: 2 b      Bb/A# Maj - G min</t>
  </si>
  <si>
    <t>(tap) scale: 1 b      F Maj         - D min</t>
  </si>
  <si>
    <t>(tap) scale: ----      C Maj         - A min</t>
  </si>
  <si>
    <t>(tap) scale: 1 #      G Maj         - E min</t>
  </si>
  <si>
    <t>(tap) scale: 2 #      D Maj         - B min</t>
  </si>
  <si>
    <t>(tap) scale: 3 #      A Maj         - F#/Gb min</t>
  </si>
  <si>
    <t>(tap) scale: 4 #      E Maj         - Db/C# min</t>
  </si>
  <si>
    <t>(tap) scale: 5 #      B Maj         - Ab/G# min</t>
  </si>
  <si>
    <t>(tap) scale: 6 #      F#/Gb Maj - Eb/D# min</t>
  </si>
  <si>
    <t>(tap) 1</t>
  </si>
  <si>
    <t>(tap) 2</t>
  </si>
  <si>
    <t>(tap) 3</t>
  </si>
  <si>
    <t>(tap) 4</t>
  </si>
  <si>
    <t>(tap) 5</t>
  </si>
  <si>
    <t>(tap) 6</t>
  </si>
  <si>
    <t>(tap) 7</t>
  </si>
  <si>
    <t>(tap) 8</t>
  </si>
  <si>
    <t>(tap) 9</t>
  </si>
  <si>
    <t>(tap) 10</t>
  </si>
  <si>
    <t>(tap) 11</t>
  </si>
  <si>
    <t>(tap) 12</t>
  </si>
  <si>
    <t>(tap) 13</t>
  </si>
  <si>
    <t>(tap) 14</t>
  </si>
  <si>
    <t>(tap) 15</t>
  </si>
  <si>
    <t>(tap) 16</t>
  </si>
  <si>
    <t>Arp pattern 1     (tap) Select    (hold) Record</t>
  </si>
  <si>
    <t>Arp pattern 2     (tap) Select    (hold) Record</t>
  </si>
  <si>
    <t>Arp pattern 3     (tap) Select    (hold) Record</t>
  </si>
  <si>
    <t>Arp pattern 4     (tap) Select    (hold) Record</t>
  </si>
  <si>
    <t>(tap) Select bottom half for editing</t>
  </si>
  <si>
    <t>(tap) Select top half for editing</t>
  </si>
  <si>
    <t>(tap) Arpeggiator on/off</t>
  </si>
  <si>
    <t>High Q</t>
  </si>
  <si>
    <t>Slap</t>
  </si>
  <si>
    <t>Scratch Push</t>
  </si>
  <si>
    <t>Scratch Pull</t>
  </si>
  <si>
    <t>Sticks</t>
  </si>
  <si>
    <t>Square Click</t>
  </si>
  <si>
    <t>Metronome Click</t>
  </si>
  <si>
    <t>Metronome Bell</t>
  </si>
  <si>
    <t>Acoustic Bass Drum</t>
  </si>
  <si>
    <t>Bass Drum 1</t>
  </si>
  <si>
    <t>Side Stick</t>
  </si>
  <si>
    <t>Acoustic Snare</t>
  </si>
  <si>
    <t>Hand Clap</t>
  </si>
  <si>
    <t>Electric Snare</t>
  </si>
  <si>
    <t>Low Floor Tom</t>
  </si>
  <si>
    <t>Closed Hi-hat</t>
  </si>
  <si>
    <t>High Floor Tom</t>
  </si>
  <si>
    <t>Pedal Hi-hat</t>
  </si>
  <si>
    <t>Low Tom</t>
  </si>
  <si>
    <t>Open Hi-hat</t>
  </si>
  <si>
    <t>Low-Mid Tom</t>
  </si>
  <si>
    <t>High Mid Tom</t>
  </si>
  <si>
    <t>Crash Cymbal 1</t>
  </si>
  <si>
    <t>High Tom</t>
  </si>
  <si>
    <t>Ride Cymbal 1</t>
  </si>
  <si>
    <t>Chinese Cymbal</t>
  </si>
  <si>
    <t>Ride Bell</t>
  </si>
  <si>
    <t>Tambourine</t>
  </si>
  <si>
    <t>Splash Cymbal</t>
  </si>
  <si>
    <t>Cowbell</t>
  </si>
  <si>
    <t>Crash Cymbal 2</t>
  </si>
  <si>
    <t>Vibra-slap</t>
  </si>
  <si>
    <t>Ride Cymbal 2</t>
  </si>
  <si>
    <t>High Bongo</t>
  </si>
  <si>
    <t>Low Bongo</t>
  </si>
  <si>
    <t>Mute Hi Conga</t>
  </si>
  <si>
    <t>Open Hi Conga</t>
  </si>
  <si>
    <t>Low Conga</t>
  </si>
  <si>
    <t>High Timbale</t>
  </si>
  <si>
    <t>Low Timbale</t>
  </si>
  <si>
    <t>High Agogo</t>
  </si>
  <si>
    <t>Low Agogo</t>
  </si>
  <si>
    <t>Cabasa</t>
  </si>
  <si>
    <t>Maracas</t>
  </si>
  <si>
    <t>Short Whistle</t>
  </si>
  <si>
    <t>Long Whistle</t>
  </si>
  <si>
    <t>Short Guiro</t>
  </si>
  <si>
    <t>Long Guiro</t>
  </si>
  <si>
    <t>Claves</t>
  </si>
  <si>
    <t>Hi Wood Block</t>
  </si>
  <si>
    <t>Low Wood Block</t>
  </si>
  <si>
    <t>Mute Cuica</t>
  </si>
  <si>
    <t>Open Cuica</t>
  </si>
  <si>
    <t>Mute Triangle</t>
  </si>
  <si>
    <t>Open Triangle</t>
  </si>
  <si>
    <t>Shaker</t>
  </si>
  <si>
    <t>Jingle Bell</t>
  </si>
  <si>
    <t>Bell Tree</t>
  </si>
  <si>
    <t>Castanets</t>
  </si>
  <si>
    <t>Mute Surdo</t>
  </si>
  <si>
    <t>Open Surdo</t>
  </si>
  <si>
    <t>Pitch</t>
  </si>
  <si>
    <t>(hold) Store preset (key 24-47 or hardware 1-10)</t>
  </si>
  <si>
    <t>GM Drum sounds</t>
  </si>
  <si>
    <t>Loc.</t>
  </si>
  <si>
    <t>Ion.</t>
  </si>
  <si>
    <t>Dor.</t>
  </si>
  <si>
    <t>Phr.</t>
  </si>
  <si>
    <t>Lyd.</t>
  </si>
  <si>
    <t>Mix.</t>
  </si>
  <si>
    <t>Aeo.</t>
  </si>
  <si>
    <t>Root C</t>
  </si>
  <si>
    <t>Root D</t>
  </si>
  <si>
    <t>Root E</t>
  </si>
  <si>
    <t>Root F</t>
  </si>
  <si>
    <t>Root G</t>
  </si>
  <si>
    <t>Root A</t>
  </si>
  <si>
    <t>Root B</t>
  </si>
  <si>
    <t>Mode equivalence table</t>
  </si>
  <si>
    <t>(tap) 4/4</t>
  </si>
  <si>
    <t>(tap) 2/4</t>
  </si>
  <si>
    <t>(tap) 3/4</t>
  </si>
  <si>
    <t>(tap) 6/8</t>
  </si>
  <si>
    <t>(tap) 7/8</t>
  </si>
  <si>
    <t>(tap) Metronome on/off       (hold) tap on key 108 or select</t>
  </si>
  <si>
    <t>creates polyrithms</t>
  </si>
  <si>
    <t>(tap) 0</t>
  </si>
  <si>
    <t>(hold) Outputs select (0 = Local, 1 = Drums, 2+ = output ports)</t>
  </si>
  <si>
    <t>(hold) Channel* select</t>
  </si>
  <si>
    <t>(*) Channel number = selected number + 1</t>
  </si>
  <si>
    <t>(hold) Scale select</t>
  </si>
  <si>
    <t>(hold) Bank select (lowest 4 bits)</t>
  </si>
  <si>
    <t>(hold) Bank select (higher* bits)</t>
  </si>
  <si>
    <r>
      <t xml:space="preserve">(*) quick tap-taps add 16 -- E.g.: 3x on key 86 </t>
    </r>
    <r>
      <rPr>
        <sz val="20"/>
        <color theme="1"/>
        <rFont val="Calibri"/>
        <family val="2"/>
      </rPr>
      <t>→</t>
    </r>
    <r>
      <rPr>
        <sz val="8"/>
        <color theme="1"/>
        <rFont val="Calibri"/>
        <family val="2"/>
      </rPr>
      <t xml:space="preserve">  </t>
    </r>
    <r>
      <rPr>
        <sz val="20"/>
        <color theme="1"/>
        <rFont val="Calibri"/>
        <family val="2"/>
        <scheme val="minor"/>
      </rPr>
      <t>= 34</t>
    </r>
  </si>
  <si>
    <r>
      <t xml:space="preserve">(*) quick tap-taps subs 16: 3x tap </t>
    </r>
    <r>
      <rPr>
        <sz val="20"/>
        <color theme="1"/>
        <rFont val="Calibri"/>
        <family val="2"/>
      </rPr>
      <t>→ program -= 32</t>
    </r>
  </si>
  <si>
    <r>
      <t xml:space="preserve">(*) quick tap-taps adds 16: 2x tap </t>
    </r>
    <r>
      <rPr>
        <sz val="20"/>
        <color theme="1"/>
        <rFont val="Calibri"/>
        <family val="2"/>
      </rPr>
      <t>→ program += 16</t>
    </r>
  </si>
  <si>
    <t>(tap*) Program  --        (tap toghether) Program 0</t>
  </si>
  <si>
    <t>(tap*) Program  ++       (tap toghether) Program 0</t>
  </si>
  <si>
    <t>(tap) 60 bpm</t>
  </si>
  <si>
    <t>(tap) 80 bpm</t>
  </si>
  <si>
    <t>(tap) 100 bpm</t>
  </si>
  <si>
    <t>(tap) 120 bpm</t>
  </si>
  <si>
    <t>(tap) 200 bpm</t>
  </si>
  <si>
    <t>(*) Tap only while holding key 107</t>
  </si>
  <si>
    <t>Signature, tempo and accents: (tap*) store      (hold) select</t>
  </si>
  <si>
    <t>Note:</t>
  </si>
  <si>
    <t>tapping more at once</t>
  </si>
  <si>
    <t>Drum pattern 1     (tap) Start/Stop    (hold) Record</t>
  </si>
  <si>
    <t>Drum pattern 2     (tap) Start/Stop    (hold) Record</t>
  </si>
  <si>
    <t>Drum pattern 3     (tap) Start/Stop    (hold) Record</t>
  </si>
  <si>
    <t>Drum pattern 4     (tap) Start/Stop    (hold) Record</t>
  </si>
  <si>
    <t>Drum pattern 5     (tap) Start/Stop    (hold) Record</t>
  </si>
  <si>
    <r>
      <t xml:space="preserve">(tap) Drum machine </t>
    </r>
    <r>
      <rPr>
        <b/>
        <sz val="20"/>
        <color theme="1"/>
        <rFont val="Calibri"/>
        <family val="2"/>
        <scheme val="minor"/>
      </rPr>
      <t>mode</t>
    </r>
    <r>
      <rPr>
        <sz val="20"/>
        <color theme="1"/>
        <rFont val="Calibri"/>
        <family val="2"/>
        <scheme val="minor"/>
      </rPr>
      <t xml:space="preserve"> on/off (overrides keys 21-100)</t>
    </r>
  </si>
  <si>
    <r>
      <t xml:space="preserve">(hold left pedal) Configuration </t>
    </r>
    <r>
      <rPr>
        <b/>
        <sz val="20"/>
        <color theme="1"/>
        <rFont val="Calibri"/>
        <family val="2"/>
        <scheme val="minor"/>
      </rPr>
      <t>mode</t>
    </r>
  </si>
  <si>
    <t>Play notes on current lower instrument</t>
  </si>
  <si>
    <t>Play notes on current upper instrument</t>
  </si>
  <si>
    <t>(tap) Select     (tap holding key 22) Store</t>
  </si>
  <si>
    <t>Preset 5</t>
  </si>
  <si>
    <t>Preset 10     (tap) Select     (tap holding key 22) Store</t>
  </si>
  <si>
    <t>Preset 11     (tap) Select     (tap holding key 22) Store</t>
  </si>
  <si>
    <t>Preset 12     (tap) Select     (tap holding key 22) Store</t>
  </si>
  <si>
    <t>Preset 13     (tap) Select     (tap holding key 22) Store</t>
  </si>
  <si>
    <t>Preset 14     (tap) Select     (tap holding key 22) Store</t>
  </si>
  <si>
    <t>Preset 15     (tap) Select     (tap holding key 22) Store</t>
  </si>
  <si>
    <t>Preset 16     (tap) Select     (tap holding key 22) Store</t>
  </si>
  <si>
    <t>Preset 17     (tap) Select     (tap holding key 22) Store</t>
  </si>
  <si>
    <t>Preset 18     (tap) Select     (tap holding key 22) Store</t>
  </si>
  <si>
    <t>Preset 19     (tap) Select     (tap holding key 22) Store</t>
  </si>
  <si>
    <t>Preset 20     (tap) Select     (tap holding key 22) Store</t>
  </si>
  <si>
    <t>Preset 21     (tap) Select     (tap holding key 22) Store</t>
  </si>
  <si>
    <t>Preset 22     (tap) Select     (tap holding key 22) Store</t>
  </si>
  <si>
    <t>Preset 23     (tap) Select     (tap holding key 22) Store</t>
  </si>
  <si>
    <t>Preset 24     (tap) Select     (tap holding key 22) Store</t>
  </si>
  <si>
    <t>Preset 9       (tap) Select     (tap holding key 22) Store</t>
  </si>
  <si>
    <t>Preset 8       (tap) Select     (tap holding key 22) Store</t>
  </si>
  <si>
    <t>Preset 7       (tap) Select     (tap holding key 22) Store</t>
  </si>
  <si>
    <t>Preset 6       (tap) Select     (tap holding key 22) Store</t>
  </si>
  <si>
    <t>Preset 5       (tap) Select     (tap holding key 22) Store</t>
  </si>
  <si>
    <t>Preset 4       (tap) Select     (tap holding key 22) Store</t>
  </si>
  <si>
    <t>Preset 3       (tap) Select     (tap holding key 22) Store</t>
  </si>
  <si>
    <t>Preset 2       (tap) Select     (tap holding key 22) Store</t>
  </si>
  <si>
    <t>Preset 1       (tap) Select     (tap holding key 22) Store</t>
  </si>
  <si>
    <t>applying transpose, scale and arpeggiator settings</t>
  </si>
  <si>
    <t>Key</t>
  </si>
  <si>
    <t>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</si>
</sst>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0" tint="-0.499984740745262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name val="Calibri"/>
      <family val="2"/>
      <scheme val="minor"/>
    </font>
    <font>
      <sz val="8"/>
      <name val="Calibri"/>
      <family val="2"/>
      <scheme val="minor"/>
    </font>
    <font>
      <sz val="20"/>
      <color theme="1"/>
      <name val="Calibri"/>
      <family val="2"/>
    </font>
    <font>
      <sz val="8"/>
      <color theme="1"/>
      <name val="Calibri"/>
      <family val="2"/>
    </font>
    <font>
      <sz val="11"/>
      <color rgb="FFFF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E1FFD7"/>
        <bgColor indexed="64"/>
      </patternFill>
    </fill>
    <fill>
      <patternFill patternType="solid">
        <fgColor rgb="FFFFD7D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BE3FB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FB7DF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8DEAE"/>
        <bgColor indexed="64"/>
      </patternFill>
    </fill>
    <fill>
      <patternFill patternType="solid">
        <fgColor theme="0" tint="-0.14999847407452621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</borders>
  <cellStyleXfs count="1">
    <xf numFmtId="0" fontId="0" fillId="0" borderId="0"/>
  </cellStyleXfs>
  <cellXfs count="30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5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quotePrefix="1"/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9" xfId="0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5" xfId="0" applyBorder="1"/>
    <xf numFmtId="0" fontId="1" fillId="0" borderId="19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1" fillId="7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7" borderId="17" xfId="0" applyFont="1" applyFill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10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4" fillId="10" borderId="0" xfId="0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2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4" fillId="9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30" xfId="0" applyBorder="1" applyAlignment="1">
      <alignment horizontal="center"/>
    </xf>
    <xf numFmtId="0" fontId="4" fillId="10" borderId="13" xfId="0" applyFont="1" applyFill="1" applyBorder="1" applyAlignment="1">
      <alignment horizontal="left"/>
    </xf>
    <xf numFmtId="0" fontId="2" fillId="10" borderId="15" xfId="0" applyFont="1" applyFill="1" applyBorder="1" applyAlignment="1">
      <alignment horizontal="left"/>
    </xf>
    <xf numFmtId="0" fontId="0" fillId="0" borderId="14" xfId="0" applyBorder="1" applyAlignment="1">
      <alignment horizontal="right"/>
    </xf>
    <xf numFmtId="0" fontId="4" fillId="10" borderId="15" xfId="0" applyFont="1" applyFill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16" xfId="0" applyBorder="1" applyAlignment="1">
      <alignment horizontal="right"/>
    </xf>
    <xf numFmtId="0" fontId="2" fillId="0" borderId="18" xfId="0" applyFont="1" applyBorder="1" applyAlignment="1">
      <alignment horizontal="left"/>
    </xf>
    <xf numFmtId="0" fontId="0" fillId="11" borderId="30" xfId="0" applyFill="1" applyBorder="1" applyAlignment="1">
      <alignment horizontal="center"/>
    </xf>
    <xf numFmtId="0" fontId="0" fillId="11" borderId="14" xfId="0" applyFill="1" applyBorder="1" applyAlignment="1">
      <alignment horizontal="right"/>
    </xf>
    <xf numFmtId="0" fontId="2" fillId="11" borderId="15" xfId="0" applyFont="1" applyFill="1" applyBorder="1" applyAlignment="1">
      <alignment horizontal="left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2" fillId="0" borderId="13" xfId="0" applyFont="1" applyBorder="1" applyAlignment="1">
      <alignment horizontal="left"/>
    </xf>
    <xf numFmtId="0" fontId="4" fillId="11" borderId="15" xfId="0" applyFont="1" applyFill="1" applyBorder="1" applyAlignment="1">
      <alignment horizontal="left"/>
    </xf>
    <xf numFmtId="0" fontId="0" fillId="0" borderId="11" xfId="0" applyBorder="1" applyAlignment="1">
      <alignment horizontal="right"/>
    </xf>
    <xf numFmtId="0" fontId="2" fillId="9" borderId="13" xfId="0" applyFont="1" applyFill="1" applyBorder="1" applyAlignment="1">
      <alignment horizontal="left"/>
    </xf>
    <xf numFmtId="0" fontId="2" fillId="9" borderId="15" xfId="0" applyFont="1" applyFill="1" applyBorder="1" applyAlignment="1">
      <alignment horizontal="left"/>
    </xf>
    <xf numFmtId="0" fontId="4" fillId="9" borderId="18" xfId="0" applyFont="1" applyFill="1" applyBorder="1" applyAlignment="1">
      <alignment horizontal="left"/>
    </xf>
    <xf numFmtId="0" fontId="4" fillId="9" borderId="15" xfId="0" applyFont="1" applyFill="1" applyBorder="1" applyAlignment="1">
      <alignment horizontal="left"/>
    </xf>
    <xf numFmtId="0" fontId="2" fillId="9" borderId="18" xfId="0" applyFont="1" applyFill="1" applyBorder="1" applyAlignment="1">
      <alignment horizontal="left"/>
    </xf>
    <xf numFmtId="0" fontId="2" fillId="10" borderId="18" xfId="0" applyFont="1" applyFill="1" applyBorder="1" applyAlignment="1">
      <alignment horizontal="left"/>
    </xf>
    <xf numFmtId="0" fontId="2" fillId="10" borderId="13" xfId="0" applyFont="1" applyFill="1" applyBorder="1" applyAlignment="1">
      <alignment horizontal="left"/>
    </xf>
    <xf numFmtId="0" fontId="0" fillId="0" borderId="26" xfId="0" applyBorder="1" applyAlignment="1">
      <alignment horizontal="right"/>
    </xf>
    <xf numFmtId="0" fontId="2" fillId="9" borderId="29" xfId="0" applyFont="1" applyFill="1" applyBorder="1" applyAlignment="1">
      <alignment horizontal="left"/>
    </xf>
    <xf numFmtId="0" fontId="0" fillId="11" borderId="16" xfId="0" applyFill="1" applyBorder="1" applyAlignment="1">
      <alignment horizontal="right"/>
    </xf>
    <xf numFmtId="0" fontId="2" fillId="11" borderId="18" xfId="0" applyFont="1" applyFill="1" applyBorder="1" applyAlignment="1">
      <alignment horizontal="left"/>
    </xf>
    <xf numFmtId="0" fontId="2" fillId="10" borderId="29" xfId="0" applyFont="1" applyFill="1" applyBorder="1" applyAlignment="1">
      <alignment horizontal="left"/>
    </xf>
    <xf numFmtId="0" fontId="0" fillId="11" borderId="11" xfId="0" applyFill="1" applyBorder="1" applyAlignment="1">
      <alignment horizontal="right"/>
    </xf>
    <xf numFmtId="0" fontId="2" fillId="11" borderId="13" xfId="0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44" xfId="0" applyFont="1" applyBorder="1" applyAlignment="1">
      <alignment horizontal="left" vertical="center"/>
    </xf>
    <xf numFmtId="0" fontId="5" fillId="0" borderId="39" xfId="0" applyFont="1" applyBorder="1" applyAlignment="1">
      <alignment horizontal="left" vertical="center"/>
    </xf>
    <xf numFmtId="0" fontId="5" fillId="0" borderId="45" xfId="0" applyFont="1" applyBorder="1" applyAlignment="1">
      <alignment horizontal="left" vertical="center"/>
    </xf>
    <xf numFmtId="0" fontId="5" fillId="0" borderId="40" xfId="0" applyFont="1" applyBorder="1" applyAlignment="1">
      <alignment horizontal="left" vertical="center"/>
    </xf>
    <xf numFmtId="0" fontId="5" fillId="0" borderId="34" xfId="0" applyFont="1" applyBorder="1" applyAlignment="1">
      <alignment horizontal="left" vertical="center"/>
    </xf>
    <xf numFmtId="0" fontId="5" fillId="0" borderId="41" xfId="0" applyFont="1" applyBorder="1" applyAlignment="1">
      <alignment horizontal="left" vertical="center"/>
    </xf>
    <xf numFmtId="0" fontId="5" fillId="0" borderId="42" xfId="0" applyFont="1" applyBorder="1" applyAlignment="1">
      <alignment horizontal="left" vertical="center"/>
    </xf>
    <xf numFmtId="0" fontId="5" fillId="0" borderId="43" xfId="0" applyFont="1" applyBorder="1" applyAlignment="1">
      <alignment horizontal="left" vertical="center"/>
    </xf>
    <xf numFmtId="0" fontId="5" fillId="0" borderId="24" xfId="0" applyFont="1" applyBorder="1" applyAlignment="1">
      <alignment horizontal="left" vertical="center"/>
    </xf>
    <xf numFmtId="0" fontId="5" fillId="14" borderId="40" xfId="0" applyFont="1" applyFill="1" applyBorder="1" applyAlignment="1">
      <alignment horizontal="left" vertical="center"/>
    </xf>
    <xf numFmtId="0" fontId="5" fillId="13" borderId="42" xfId="0" applyFont="1" applyFill="1" applyBorder="1" applyAlignment="1">
      <alignment horizontal="left" vertical="center"/>
    </xf>
    <xf numFmtId="0" fontId="5" fillId="13" borderId="40" xfId="0" applyFont="1" applyFill="1" applyBorder="1" applyAlignment="1">
      <alignment horizontal="left" vertical="center"/>
    </xf>
    <xf numFmtId="0" fontId="5" fillId="13" borderId="41" xfId="0" applyFont="1" applyFill="1" applyBorder="1" applyAlignment="1">
      <alignment horizontal="left" vertical="center"/>
    </xf>
    <xf numFmtId="0" fontId="5" fillId="14" borderId="42" xfId="0" applyFont="1" applyFill="1" applyBorder="1" applyAlignment="1">
      <alignment horizontal="left" vertical="center"/>
    </xf>
    <xf numFmtId="0" fontId="5" fillId="14" borderId="41" xfId="0" applyFont="1" applyFill="1" applyBorder="1" applyAlignment="1">
      <alignment horizontal="left" vertical="center"/>
    </xf>
    <xf numFmtId="0" fontId="5" fillId="15" borderId="40" xfId="0" applyFont="1" applyFill="1" applyBorder="1" applyAlignment="1">
      <alignment horizontal="left" vertical="center"/>
    </xf>
    <xf numFmtId="0" fontId="5" fillId="16" borderId="40" xfId="0" applyFont="1" applyFill="1" applyBorder="1" applyAlignment="1">
      <alignment horizontal="left" vertical="center"/>
    </xf>
    <xf numFmtId="0" fontId="5" fillId="17" borderId="42" xfId="0" applyFont="1" applyFill="1" applyBorder="1" applyAlignment="1">
      <alignment horizontal="left" vertical="center"/>
    </xf>
    <xf numFmtId="0" fontId="5" fillId="17" borderId="40" xfId="0" applyFont="1" applyFill="1" applyBorder="1" applyAlignment="1">
      <alignment horizontal="left" vertical="center"/>
    </xf>
    <xf numFmtId="0" fontId="5" fillId="3" borderId="40" xfId="0" applyFont="1" applyFill="1" applyBorder="1" applyAlignment="1">
      <alignment horizontal="left" vertical="center"/>
    </xf>
    <xf numFmtId="0" fontId="5" fillId="18" borderId="41" xfId="0" applyFont="1" applyFill="1" applyBorder="1" applyAlignment="1">
      <alignment horizontal="left" vertical="center"/>
    </xf>
    <xf numFmtId="0" fontId="5" fillId="13" borderId="39" xfId="0" applyFont="1" applyFill="1" applyBorder="1" applyAlignment="1">
      <alignment horizontal="left" vertical="center"/>
    </xf>
    <xf numFmtId="0" fontId="5" fillId="14" borderId="39" xfId="0" applyFont="1" applyFill="1" applyBorder="1" applyAlignment="1">
      <alignment horizontal="left" vertical="center"/>
    </xf>
    <xf numFmtId="0" fontId="5" fillId="15" borderId="41" xfId="0" applyFont="1" applyFill="1" applyBorder="1" applyAlignment="1">
      <alignment horizontal="left" vertical="center"/>
    </xf>
    <xf numFmtId="0" fontId="5" fillId="15" borderId="42" xfId="0" applyFont="1" applyFill="1" applyBorder="1" applyAlignment="1">
      <alignment horizontal="left" vertical="center"/>
    </xf>
    <xf numFmtId="0" fontId="5" fillId="19" borderId="40" xfId="0" applyFont="1" applyFill="1" applyBorder="1" applyAlignment="1">
      <alignment horizontal="left" vertical="center"/>
    </xf>
    <xf numFmtId="0" fontId="5" fillId="19" borderId="42" xfId="0" applyFont="1" applyFill="1" applyBorder="1" applyAlignment="1">
      <alignment horizontal="left" vertical="center"/>
    </xf>
    <xf numFmtId="0" fontId="5" fillId="19" borderId="41" xfId="0" applyFont="1" applyFill="1" applyBorder="1" applyAlignment="1">
      <alignment horizontal="left" vertical="center"/>
    </xf>
    <xf numFmtId="0" fontId="5" fillId="19" borderId="39" xfId="0" applyFont="1" applyFill="1" applyBorder="1" applyAlignment="1">
      <alignment horizontal="left" vertical="center"/>
    </xf>
    <xf numFmtId="0" fontId="5" fillId="20" borderId="48" xfId="0" applyFont="1" applyFill="1" applyBorder="1" applyAlignment="1">
      <alignment horizontal="center" vertical="center"/>
    </xf>
    <xf numFmtId="0" fontId="5" fillId="20" borderId="46" xfId="0" applyFont="1" applyFill="1" applyBorder="1" applyAlignment="1">
      <alignment horizontal="center" vertical="center"/>
    </xf>
    <xf numFmtId="0" fontId="5" fillId="18" borderId="46" xfId="0" applyFont="1" applyFill="1" applyBorder="1" applyAlignment="1">
      <alignment horizontal="center" vertical="center"/>
    </xf>
    <xf numFmtId="0" fontId="5" fillId="20" borderId="56" xfId="0" applyFont="1" applyFill="1" applyBorder="1" applyAlignment="1">
      <alignment horizontal="center" vertical="center"/>
    </xf>
    <xf numFmtId="0" fontId="7" fillId="18" borderId="49" xfId="0" applyFont="1" applyFill="1" applyBorder="1" applyAlignment="1">
      <alignment horizontal="center" vertical="center"/>
    </xf>
    <xf numFmtId="0" fontId="6" fillId="18" borderId="49" xfId="0" applyFont="1" applyFill="1" applyBorder="1" applyAlignment="1">
      <alignment horizontal="center" vertical="center"/>
    </xf>
    <xf numFmtId="0" fontId="7" fillId="18" borderId="47" xfId="0" applyFont="1" applyFill="1" applyBorder="1" applyAlignment="1">
      <alignment horizontal="center" vertical="center"/>
    </xf>
    <xf numFmtId="0" fontId="6" fillId="18" borderId="47" xfId="0" applyFont="1" applyFill="1" applyBorder="1" applyAlignment="1">
      <alignment horizontal="center" vertical="center"/>
    </xf>
    <xf numFmtId="0" fontId="7" fillId="18" borderId="57" xfId="0" applyFont="1" applyFill="1" applyBorder="1" applyAlignment="1">
      <alignment horizontal="center" vertical="center"/>
    </xf>
    <xf numFmtId="0" fontId="6" fillId="18" borderId="57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62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/>
    </xf>
    <xf numFmtId="0" fontId="5" fillId="0" borderId="65" xfId="0" applyFont="1" applyBorder="1" applyAlignment="1">
      <alignment horizontal="left" vertical="center"/>
    </xf>
    <xf numFmtId="0" fontId="5" fillId="0" borderId="66" xfId="0" applyFont="1" applyBorder="1" applyAlignment="1">
      <alignment horizontal="left" vertical="center"/>
    </xf>
    <xf numFmtId="0" fontId="5" fillId="0" borderId="67" xfId="0" applyFont="1" applyBorder="1" applyAlignment="1">
      <alignment horizontal="left" vertical="center"/>
    </xf>
    <xf numFmtId="0" fontId="5" fillId="0" borderId="53" xfId="0" applyFont="1" applyBorder="1" applyAlignment="1">
      <alignment horizontal="left" vertical="center"/>
    </xf>
    <xf numFmtId="0" fontId="5" fillId="0" borderId="69" xfId="0" applyFont="1" applyBorder="1" applyAlignment="1">
      <alignment horizontal="left" vertical="center"/>
    </xf>
    <xf numFmtId="0" fontId="5" fillId="0" borderId="70" xfId="0" applyFont="1" applyBorder="1" applyAlignment="1">
      <alignment horizontal="left" vertical="center"/>
    </xf>
    <xf numFmtId="0" fontId="5" fillId="0" borderId="72" xfId="0" applyFont="1" applyBorder="1" applyAlignment="1">
      <alignment horizontal="left" vertical="center"/>
    </xf>
    <xf numFmtId="0" fontId="5" fillId="0" borderId="73" xfId="0" applyFont="1" applyBorder="1" applyAlignment="1">
      <alignment horizontal="left" vertical="center"/>
    </xf>
    <xf numFmtId="0" fontId="5" fillId="0" borderId="59" xfId="0" applyFont="1" applyBorder="1" applyAlignment="1">
      <alignment horizontal="left" vertical="center"/>
    </xf>
    <xf numFmtId="0" fontId="5" fillId="0" borderId="60" xfId="0" applyFont="1" applyBorder="1" applyAlignment="1">
      <alignment horizontal="left" vertical="center"/>
    </xf>
    <xf numFmtId="0" fontId="5" fillId="0" borderId="37" xfId="0" applyFont="1" applyBorder="1" applyAlignment="1">
      <alignment horizontal="left" vertical="center"/>
    </xf>
    <xf numFmtId="0" fontId="5" fillId="0" borderId="74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61" xfId="0" applyFont="1" applyBorder="1" applyAlignment="1">
      <alignment horizontal="left" vertical="center"/>
    </xf>
    <xf numFmtId="0" fontId="5" fillId="0" borderId="64" xfId="0" applyFont="1" applyBorder="1" applyAlignment="1">
      <alignment horizontal="left" vertical="center"/>
    </xf>
    <xf numFmtId="0" fontId="5" fillId="0" borderId="52" xfId="0" applyFont="1" applyBorder="1" applyAlignment="1">
      <alignment horizontal="left" vertical="center"/>
    </xf>
    <xf numFmtId="0" fontId="5" fillId="0" borderId="68" xfId="0" applyFont="1" applyBorder="1" applyAlignment="1">
      <alignment horizontal="left" vertical="center"/>
    </xf>
    <xf numFmtId="0" fontId="5" fillId="0" borderId="58" xfId="0" applyFont="1" applyBorder="1" applyAlignment="1">
      <alignment horizontal="left" vertical="center"/>
    </xf>
    <xf numFmtId="0" fontId="5" fillId="0" borderId="28" xfId="0" applyFon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vertical="center"/>
    </xf>
    <xf numFmtId="0" fontId="5" fillId="0" borderId="50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13" borderId="1" xfId="0" applyFont="1" applyFill="1" applyBorder="1" applyAlignment="1">
      <alignment vertical="center"/>
    </xf>
    <xf numFmtId="0" fontId="5" fillId="13" borderId="2" xfId="0" applyFont="1" applyFill="1" applyBorder="1" applyAlignment="1">
      <alignment vertical="center"/>
    </xf>
    <xf numFmtId="0" fontId="5" fillId="0" borderId="61" xfId="0" applyFont="1" applyBorder="1" applyAlignment="1">
      <alignment horizontal="center" vertical="center"/>
    </xf>
    <xf numFmtId="0" fontId="5" fillId="0" borderId="62" xfId="0" applyFont="1" applyBorder="1" applyAlignment="1">
      <alignment horizontal="center" vertical="center"/>
    </xf>
    <xf numFmtId="0" fontId="5" fillId="13" borderId="35" xfId="0" applyFont="1" applyFill="1" applyBorder="1" applyAlignment="1">
      <alignment vertical="center"/>
    </xf>
    <xf numFmtId="0" fontId="5" fillId="12" borderId="1" xfId="0" applyFont="1" applyFill="1" applyBorder="1" applyAlignment="1">
      <alignment vertical="center"/>
    </xf>
    <xf numFmtId="0" fontId="5" fillId="12" borderId="2" xfId="0" applyFont="1" applyFill="1" applyBorder="1" applyAlignment="1">
      <alignment vertical="center"/>
    </xf>
    <xf numFmtId="0" fontId="5" fillId="0" borderId="64" xfId="0" applyFont="1" applyBorder="1" applyAlignment="1">
      <alignment horizontal="center" vertical="center"/>
    </xf>
    <xf numFmtId="0" fontId="5" fillId="0" borderId="65" xfId="0" applyFont="1" applyBorder="1" applyAlignment="1">
      <alignment horizontal="center" vertical="center"/>
    </xf>
    <xf numFmtId="0" fontId="5" fillId="13" borderId="4" xfId="0" applyFont="1" applyFill="1" applyBorder="1" applyAlignment="1">
      <alignment vertical="center"/>
    </xf>
    <xf numFmtId="0" fontId="5" fillId="12" borderId="6" xfId="0" applyFont="1" applyFill="1" applyBorder="1" applyAlignment="1">
      <alignment vertical="center"/>
    </xf>
    <xf numFmtId="0" fontId="5" fillId="12" borderId="7" xfId="0" applyFont="1" applyFill="1" applyBorder="1" applyAlignment="1">
      <alignment vertical="center"/>
    </xf>
    <xf numFmtId="0" fontId="5" fillId="13" borderId="36" xfId="0" applyFont="1" applyFill="1" applyBorder="1" applyAlignment="1">
      <alignment vertical="center"/>
    </xf>
    <xf numFmtId="0" fontId="5" fillId="0" borderId="52" xfId="0" applyFont="1" applyBorder="1" applyAlignment="1">
      <alignment horizontal="center" vertical="center"/>
    </xf>
    <xf numFmtId="0" fontId="5" fillId="0" borderId="67" xfId="0" applyFont="1" applyBorder="1" applyAlignment="1">
      <alignment horizontal="center" vertical="center"/>
    </xf>
    <xf numFmtId="0" fontId="5" fillId="13" borderId="0" xfId="0" applyFont="1" applyFill="1" applyAlignment="1">
      <alignment vertical="center"/>
    </xf>
    <xf numFmtId="0" fontId="5" fillId="0" borderId="68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13" borderId="34" xfId="0" applyFont="1" applyFill="1" applyBorder="1" applyAlignment="1">
      <alignment vertical="center"/>
    </xf>
    <xf numFmtId="0" fontId="5" fillId="14" borderId="4" xfId="0" applyFont="1" applyFill="1" applyBorder="1" applyAlignment="1">
      <alignment vertical="center"/>
    </xf>
    <xf numFmtId="0" fontId="5" fillId="14" borderId="0" xfId="0" applyFont="1" applyFill="1" applyAlignment="1">
      <alignment vertical="center"/>
    </xf>
    <xf numFmtId="0" fontId="5" fillId="14" borderId="35" xfId="0" applyFont="1" applyFill="1" applyBorder="1" applyAlignment="1">
      <alignment vertical="center"/>
    </xf>
    <xf numFmtId="0" fontId="5" fillId="14" borderId="34" xfId="0" applyFont="1" applyFill="1" applyBorder="1" applyAlignment="1">
      <alignment vertical="center"/>
    </xf>
    <xf numFmtId="0" fontId="5" fillId="14" borderId="36" xfId="0" applyFont="1" applyFill="1" applyBorder="1" applyAlignment="1">
      <alignment vertical="center"/>
    </xf>
    <xf numFmtId="0" fontId="5" fillId="0" borderId="71" xfId="0" applyFont="1" applyBorder="1" applyAlignment="1">
      <alignment horizontal="center" vertical="center"/>
    </xf>
    <xf numFmtId="0" fontId="5" fillId="0" borderId="72" xfId="0" applyFont="1" applyBorder="1" applyAlignment="1">
      <alignment horizontal="center" vertical="center"/>
    </xf>
    <xf numFmtId="0" fontId="5" fillId="18" borderId="48" xfId="0" applyFont="1" applyFill="1" applyBorder="1" applyAlignment="1">
      <alignment horizontal="center" vertical="center"/>
    </xf>
    <xf numFmtId="0" fontId="5" fillId="18" borderId="56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14" borderId="28" xfId="0" applyFont="1" applyFill="1" applyBorder="1" applyAlignment="1">
      <alignment vertical="center"/>
    </xf>
    <xf numFmtId="0" fontId="5" fillId="14" borderId="37" xfId="0" applyFont="1" applyFill="1" applyBorder="1" applyAlignment="1">
      <alignment vertical="center"/>
    </xf>
    <xf numFmtId="0" fontId="5" fillId="0" borderId="37" xfId="0" applyFont="1" applyBorder="1" applyAlignment="1">
      <alignment horizontal="center" vertical="center"/>
    </xf>
    <xf numFmtId="0" fontId="5" fillId="0" borderId="75" xfId="0" applyFont="1" applyBorder="1" applyAlignment="1">
      <alignment horizontal="left" vertical="center"/>
    </xf>
    <xf numFmtId="0" fontId="5" fillId="0" borderId="76" xfId="0" applyFont="1" applyBorder="1" applyAlignment="1">
      <alignment horizontal="left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22" borderId="28" xfId="0" applyFont="1" applyFill="1" applyBorder="1" applyAlignment="1">
      <alignment horizontal="left" vertical="center"/>
    </xf>
    <xf numFmtId="0" fontId="5" fillId="22" borderId="37" xfId="0" applyFont="1" applyFill="1" applyBorder="1" applyAlignment="1">
      <alignment horizontal="left" vertical="center"/>
    </xf>
    <xf numFmtId="0" fontId="5" fillId="22" borderId="64" xfId="0" applyFont="1" applyFill="1" applyBorder="1" applyAlignment="1">
      <alignment horizontal="left" vertical="center"/>
    </xf>
    <xf numFmtId="0" fontId="5" fillId="22" borderId="64" xfId="0" quotePrefix="1" applyFont="1" applyFill="1" applyBorder="1" applyAlignment="1">
      <alignment horizontal="left" vertical="center"/>
    </xf>
    <xf numFmtId="0" fontId="5" fillId="22" borderId="45" xfId="0" applyFont="1" applyFill="1" applyBorder="1" applyAlignment="1">
      <alignment horizontal="left" vertical="center"/>
    </xf>
    <xf numFmtId="0" fontId="5" fillId="22" borderId="7" xfId="0" applyFont="1" applyFill="1" applyBorder="1" applyAlignment="1">
      <alignment horizontal="left" vertical="center"/>
    </xf>
    <xf numFmtId="0" fontId="5" fillId="21" borderId="73" xfId="0" applyFont="1" applyFill="1" applyBorder="1" applyAlignment="1">
      <alignment horizontal="left" vertical="center"/>
    </xf>
    <xf numFmtId="0" fontId="5" fillId="18" borderId="68" xfId="0" applyFont="1" applyFill="1" applyBorder="1" applyAlignment="1">
      <alignment horizontal="left" vertical="center"/>
    </xf>
    <xf numFmtId="0" fontId="5" fillId="18" borderId="64" xfId="0" applyFont="1" applyFill="1" applyBorder="1" applyAlignment="1">
      <alignment horizontal="left" vertical="center"/>
    </xf>
    <xf numFmtId="0" fontId="5" fillId="18" borderId="58" xfId="0" applyFont="1" applyFill="1" applyBorder="1" applyAlignment="1">
      <alignment horizontal="left" vertical="center"/>
    </xf>
    <xf numFmtId="0" fontId="5" fillId="17" borderId="39" xfId="0" applyFont="1" applyFill="1" applyBorder="1" applyAlignment="1">
      <alignment horizontal="left" vertical="center"/>
    </xf>
    <xf numFmtId="0" fontId="5" fillId="16" borderId="39" xfId="0" applyFont="1" applyFill="1" applyBorder="1" applyAlignment="1">
      <alignment horizontal="left" vertical="center"/>
    </xf>
    <xf numFmtId="0" fontId="5" fillId="7" borderId="66" xfId="0" applyFont="1" applyFill="1" applyBorder="1" applyAlignment="1">
      <alignment horizontal="left" vertical="center"/>
    </xf>
    <xf numFmtId="0" fontId="5" fillId="21" borderId="6" xfId="0" applyFont="1" applyFill="1" applyBorder="1" applyAlignment="1">
      <alignment horizontal="left" vertical="center"/>
    </xf>
    <xf numFmtId="0" fontId="5" fillId="15" borderId="61" xfId="0" applyFont="1" applyFill="1" applyBorder="1" applyAlignment="1">
      <alignment horizontal="left" vertical="center"/>
    </xf>
    <xf numFmtId="0" fontId="5" fillId="16" borderId="43" xfId="0" applyFont="1" applyFill="1" applyBorder="1" applyAlignment="1">
      <alignment horizontal="left" vertical="center"/>
    </xf>
    <xf numFmtId="0" fontId="5" fillId="19" borderId="43" xfId="0" applyFont="1" applyFill="1" applyBorder="1" applyAlignment="1">
      <alignment horizontal="left" vertical="center"/>
    </xf>
    <xf numFmtId="0" fontId="5" fillId="15" borderId="37" xfId="0" applyFont="1" applyFill="1" applyBorder="1" applyAlignment="1">
      <alignment horizontal="left" vertical="center"/>
    </xf>
    <xf numFmtId="0" fontId="5" fillId="15" borderId="74" xfId="0" applyFont="1" applyFill="1" applyBorder="1" applyAlignment="1">
      <alignment horizontal="left" vertical="center"/>
    </xf>
    <xf numFmtId="0" fontId="5" fillId="22" borderId="37" xfId="0" applyFont="1" applyFill="1" applyBorder="1" applyAlignment="1">
      <alignment horizontal="left" vertical="center"/>
    </xf>
    <xf numFmtId="0" fontId="5" fillId="22" borderId="74" xfId="0" applyFont="1" applyFill="1" applyBorder="1" applyAlignment="1">
      <alignment horizontal="left" vertical="center"/>
    </xf>
    <xf numFmtId="0" fontId="5" fillId="18" borderId="54" xfId="0" applyFont="1" applyFill="1" applyBorder="1" applyAlignment="1">
      <alignment horizontal="center" vertical="center"/>
    </xf>
    <xf numFmtId="0" fontId="5" fillId="18" borderId="55" xfId="0" applyFont="1" applyFill="1" applyBorder="1" applyAlignment="1">
      <alignment horizontal="center" vertical="center"/>
    </xf>
    <xf numFmtId="0" fontId="6" fillId="18" borderId="1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center" vertical="center"/>
    </xf>
    <xf numFmtId="0" fontId="6" fillId="18" borderId="3" xfId="0" applyFont="1" applyFill="1" applyBorder="1" applyAlignment="1">
      <alignment horizontal="center" vertical="center"/>
    </xf>
    <xf numFmtId="0" fontId="6" fillId="18" borderId="6" xfId="0" applyFont="1" applyFill="1" applyBorder="1" applyAlignment="1">
      <alignment horizontal="center" vertical="center"/>
    </xf>
    <xf numFmtId="0" fontId="6" fillId="18" borderId="7" xfId="0" applyFont="1" applyFill="1" applyBorder="1" applyAlignment="1">
      <alignment horizontal="center" vertical="center"/>
    </xf>
    <xf numFmtId="0" fontId="6" fillId="18" borderId="8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vertical="center"/>
    </xf>
    <xf numFmtId="0" fontId="5" fillId="22" borderId="0" xfId="0" applyFont="1" applyFill="1" applyAlignment="1">
      <alignment horizontal="center" vertical="center"/>
    </xf>
    <xf numFmtId="0" fontId="5" fillId="22" borderId="5" xfId="0" applyFont="1" applyFill="1" applyBorder="1" applyAlignment="1">
      <alignment horizontal="center" vertical="center"/>
    </xf>
    <xf numFmtId="0" fontId="5" fillId="0" borderId="65" xfId="0" applyFont="1" applyBorder="1" applyAlignment="1">
      <alignment horizontal="left" vertical="center"/>
    </xf>
    <xf numFmtId="0" fontId="5" fillId="0" borderId="66" xfId="0" applyFont="1" applyBorder="1" applyAlignment="1">
      <alignment horizontal="left" vertical="center"/>
    </xf>
    <xf numFmtId="0" fontId="5" fillId="0" borderId="65" xfId="0" applyFont="1" applyBorder="1" applyAlignment="1">
      <alignment horizontal="center" vertical="center"/>
    </xf>
    <xf numFmtId="0" fontId="5" fillId="18" borderId="46" xfId="0" applyFont="1" applyFill="1" applyBorder="1" applyAlignment="1">
      <alignment horizontal="center" vertical="center"/>
    </xf>
    <xf numFmtId="0" fontId="6" fillId="18" borderId="47" xfId="0" applyFont="1" applyFill="1" applyBorder="1" applyAlignment="1">
      <alignment horizontal="center" vertical="center"/>
    </xf>
    <xf numFmtId="0" fontId="7" fillId="18" borderId="47" xfId="0" applyFont="1" applyFill="1" applyBorder="1" applyAlignment="1">
      <alignment horizontal="center" vertical="center"/>
    </xf>
    <xf numFmtId="0" fontId="5" fillId="0" borderId="64" xfId="0" applyFont="1" applyBorder="1" applyAlignment="1">
      <alignment horizontal="left" vertical="center"/>
    </xf>
    <xf numFmtId="0" fontId="5" fillId="20" borderId="46" xfId="0" applyFont="1" applyFill="1" applyBorder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0" fontId="9" fillId="22" borderId="5" xfId="0" applyFont="1" applyFill="1" applyBorder="1" applyAlignment="1">
      <alignment horizontal="center" vertical="center"/>
    </xf>
    <xf numFmtId="0" fontId="5" fillId="17" borderId="58" xfId="0" applyFont="1" applyFill="1" applyBorder="1" applyAlignment="1">
      <alignment horizontal="left" vertical="center"/>
    </xf>
    <xf numFmtId="0" fontId="5" fillId="17" borderId="59" xfId="0" applyFont="1" applyFill="1" applyBorder="1" applyAlignment="1">
      <alignment horizontal="left" vertical="center"/>
    </xf>
    <xf numFmtId="0" fontId="5" fillId="17" borderId="78" xfId="0" applyFont="1" applyFill="1" applyBorder="1" applyAlignment="1">
      <alignment horizontal="left" vertical="center"/>
    </xf>
    <xf numFmtId="0" fontId="5" fillId="17" borderId="75" xfId="0" applyFont="1" applyFill="1" applyBorder="1" applyAlignment="1">
      <alignment horizontal="left" vertical="center"/>
    </xf>
    <xf numFmtId="0" fontId="5" fillId="17" borderId="64" xfId="0" applyFont="1" applyFill="1" applyBorder="1" applyAlignment="1">
      <alignment horizontal="left" vertical="center"/>
    </xf>
    <xf numFmtId="0" fontId="5" fillId="17" borderId="65" xfId="0" applyFont="1" applyFill="1" applyBorder="1" applyAlignment="1">
      <alignment horizontal="left" vertical="center"/>
    </xf>
    <xf numFmtId="0" fontId="5" fillId="0" borderId="64" xfId="0" applyFont="1" applyBorder="1" applyAlignment="1">
      <alignment horizontal="center" vertical="center"/>
    </xf>
    <xf numFmtId="0" fontId="5" fillId="17" borderId="40" xfId="0" applyFont="1" applyFill="1" applyBorder="1" applyAlignment="1">
      <alignment horizontal="left" vertical="center"/>
    </xf>
    <xf numFmtId="0" fontId="5" fillId="0" borderId="40" xfId="0" applyFont="1" applyBorder="1" applyAlignment="1">
      <alignment horizontal="left" vertical="center"/>
    </xf>
    <xf numFmtId="0" fontId="5" fillId="19" borderId="40" xfId="0" applyFont="1" applyFill="1" applyBorder="1" applyAlignment="1">
      <alignment horizontal="left" vertical="center"/>
    </xf>
    <xf numFmtId="0" fontId="5" fillId="3" borderId="40" xfId="0" applyFont="1" applyFill="1" applyBorder="1" applyAlignment="1">
      <alignment horizontal="left" vertical="center"/>
    </xf>
    <xf numFmtId="0" fontId="5" fillId="15" borderId="40" xfId="0" applyFont="1" applyFill="1" applyBorder="1" applyAlignment="1">
      <alignment horizontal="left" vertical="center"/>
    </xf>
    <xf numFmtId="0" fontId="5" fillId="16" borderId="40" xfId="0" applyFont="1" applyFill="1" applyBorder="1" applyAlignment="1">
      <alignment horizontal="left" vertical="center"/>
    </xf>
    <xf numFmtId="0" fontId="5" fillId="7" borderId="66" xfId="0" applyFont="1" applyFill="1" applyBorder="1" applyAlignment="1">
      <alignment horizontal="left" vertical="center"/>
    </xf>
    <xf numFmtId="0" fontId="5" fillId="22" borderId="64" xfId="0" applyFont="1" applyFill="1" applyBorder="1" applyAlignment="1">
      <alignment horizontal="left" vertical="center"/>
    </xf>
    <xf numFmtId="0" fontId="5" fillId="18" borderId="58" xfId="0" applyFont="1" applyFill="1" applyBorder="1" applyAlignment="1">
      <alignment horizontal="left" vertical="center"/>
    </xf>
    <xf numFmtId="0" fontId="5" fillId="18" borderId="78" xfId="0" applyFont="1" applyFill="1" applyBorder="1" applyAlignment="1">
      <alignment horizontal="left" vertical="center"/>
    </xf>
    <xf numFmtId="0" fontId="5" fillId="13" borderId="40" xfId="0" applyFont="1" applyFill="1" applyBorder="1" applyAlignment="1">
      <alignment horizontal="left" vertical="center"/>
    </xf>
    <xf numFmtId="0" fontId="5" fillId="14" borderId="40" xfId="0" applyFont="1" applyFill="1" applyBorder="1" applyAlignment="1">
      <alignment horizontal="left" vertical="center"/>
    </xf>
    <xf numFmtId="0" fontId="5" fillId="22" borderId="0" xfId="0" applyFont="1" applyFill="1" applyAlignment="1">
      <alignment horizontal="left" vertical="center"/>
    </xf>
    <xf numFmtId="0" fontId="5" fillId="22" borderId="5" xfId="0" applyFont="1" applyFill="1" applyBorder="1" applyAlignment="1">
      <alignment horizontal="left" vertical="center"/>
    </xf>
    <xf numFmtId="0" fontId="5" fillId="22" borderId="7" xfId="0" applyFont="1" applyFill="1" applyBorder="1" applyAlignment="1">
      <alignment horizontal="left" vertical="center"/>
    </xf>
    <xf numFmtId="0" fontId="5" fillId="22" borderId="8" xfId="0" applyFont="1" applyFill="1" applyBorder="1" applyAlignment="1">
      <alignment horizontal="left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45" xfId="0" applyFont="1" applyBorder="1" applyAlignment="1">
      <alignment horizontal="left" vertical="center"/>
    </xf>
    <xf numFmtId="0" fontId="5" fillId="15" borderId="77" xfId="0" applyFont="1" applyFill="1" applyBorder="1" applyAlignment="1">
      <alignment horizontal="left" vertical="center"/>
    </xf>
    <xf numFmtId="0" fontId="5" fillId="22" borderId="58" xfId="0" applyFont="1" applyFill="1" applyBorder="1" applyAlignment="1">
      <alignment horizontal="left" vertical="center"/>
    </xf>
    <xf numFmtId="0" fontId="5" fillId="22" borderId="78" xfId="0" applyFont="1" applyFill="1" applyBorder="1" applyAlignment="1">
      <alignment horizontal="left" vertical="center"/>
    </xf>
    <xf numFmtId="0" fontId="5" fillId="18" borderId="64" xfId="0" applyFont="1" applyFill="1" applyBorder="1" applyAlignment="1">
      <alignment horizontal="left" vertical="center"/>
    </xf>
    <xf numFmtId="0" fontId="5" fillId="17" borderId="77" xfId="0" applyFont="1" applyFill="1" applyBorder="1" applyAlignment="1">
      <alignment horizontal="left" vertical="center"/>
    </xf>
    <xf numFmtId="0" fontId="5" fillId="7" borderId="76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23" borderId="12" xfId="0" applyFill="1" applyBorder="1" applyAlignment="1">
      <alignment horizontal="center"/>
    </xf>
    <xf numFmtId="0" fontId="0" fillId="23" borderId="0" xfId="0" applyFill="1"/>
    <xf numFmtId="0" fontId="13" fillId="0" borderId="0" xfId="0" applyFont="1"/>
    <xf numFmtId="0" fontId="13" fillId="2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DEAE"/>
      <color rgb="FFF8CBAD"/>
      <color rgb="FFDFB7DF"/>
      <color rgb="FFF2A4F2"/>
      <color rgb="FFD86AD8"/>
      <color rgb="FFFBE3FB"/>
      <color rgb="FFFCE4D6"/>
      <color rgb="FFD96415"/>
      <color rgb="FFFBF3E3"/>
      <color rgb="FF4C74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2540000</xdr:colOff>
      <xdr:row>74</xdr:row>
      <xdr:rowOff>247385</xdr:rowOff>
    </xdr:from>
    <xdr:to>
      <xdr:col>6</xdr:col>
      <xdr:colOff>571499</xdr:colOff>
      <xdr:row>89</xdr:row>
      <xdr:rowOff>395550</xdr:rowOff>
    </xdr:to>
    <xdr:cxnSp macro="">
      <xdr:nvCxnSpPr>
        <xdr:cNvPr id="3" name="Connector: Elbow 2">
          <a:extLst>
            <a:ext uri="{FF2B5EF4-FFF2-40B4-BE49-F238E27FC236}">
              <a16:creationId xmlns:a16="http://schemas.microsoft.com/office/drawing/2014/main" id="{9DC57429-C23F-3E53-67B6-48C5B74520CA}"/>
            </a:ext>
          </a:extLst>
        </xdr:cNvPr>
        <xdr:cNvCxnSpPr/>
      </xdr:nvCxnSpPr>
      <xdr:spPr>
        <a:xfrm>
          <a:off x="5926667" y="22231085"/>
          <a:ext cx="4627032" cy="4296832"/>
        </a:xfrm>
        <a:prstGeom prst="bentConnector3">
          <a:avLst>
            <a:gd name="adj1" fmla="val 99977"/>
          </a:avLst>
        </a:prstGeom>
        <a:ln w="38100">
          <a:solidFill>
            <a:srgbClr val="4C743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2053167</xdr:colOff>
      <xdr:row>89</xdr:row>
      <xdr:rowOff>211665</xdr:rowOff>
    </xdr:from>
    <xdr:to>
      <xdr:col>5</xdr:col>
      <xdr:colOff>5217583</xdr:colOff>
      <xdr:row>90</xdr:row>
      <xdr:rowOff>31749</xdr:rowOff>
    </xdr:to>
    <xdr:cxnSp macro="">
      <xdr:nvCxnSpPr>
        <xdr:cNvPr id="9" name="Connector: Elbow 8">
          <a:extLst>
            <a:ext uri="{FF2B5EF4-FFF2-40B4-BE49-F238E27FC236}">
              <a16:creationId xmlns:a16="http://schemas.microsoft.com/office/drawing/2014/main" id="{2ED3D763-1F09-469C-A48E-6A2B938C02BF}"/>
            </a:ext>
          </a:extLst>
        </xdr:cNvPr>
        <xdr:cNvCxnSpPr/>
      </xdr:nvCxnSpPr>
      <xdr:spPr>
        <a:xfrm>
          <a:off x="5450417" y="26267833"/>
          <a:ext cx="3164416" cy="232834"/>
        </a:xfrm>
        <a:prstGeom prst="bentConnector3">
          <a:avLst>
            <a:gd name="adj1" fmla="val 99948"/>
          </a:avLst>
        </a:prstGeom>
        <a:ln w="38100">
          <a:solidFill>
            <a:srgbClr val="D41ED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6474406</xdr:colOff>
      <xdr:row>73</xdr:row>
      <xdr:rowOff>213509</xdr:rowOff>
    </xdr:from>
    <xdr:to>
      <xdr:col>6</xdr:col>
      <xdr:colOff>571498</xdr:colOff>
      <xdr:row>89</xdr:row>
      <xdr:rowOff>395550</xdr:rowOff>
    </xdr:to>
    <xdr:cxnSp macro="">
      <xdr:nvCxnSpPr>
        <xdr:cNvPr id="18" name="Connector: Elbow 17">
          <a:extLst>
            <a:ext uri="{FF2B5EF4-FFF2-40B4-BE49-F238E27FC236}">
              <a16:creationId xmlns:a16="http://schemas.microsoft.com/office/drawing/2014/main" id="{68EC4018-F39F-80A4-B4BC-5DD0BC7005D8}"/>
            </a:ext>
          </a:extLst>
        </xdr:cNvPr>
        <xdr:cNvCxnSpPr/>
      </xdr:nvCxnSpPr>
      <xdr:spPr>
        <a:xfrm rot="16200000" flipH="1">
          <a:off x="7834598" y="23808817"/>
          <a:ext cx="4745575" cy="692625"/>
        </a:xfrm>
        <a:prstGeom prst="bentConnector3">
          <a:avLst>
            <a:gd name="adj1" fmla="val -253"/>
          </a:avLst>
        </a:prstGeom>
        <a:ln w="38100">
          <a:solidFill>
            <a:srgbClr val="4C743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5330535</xdr:colOff>
      <xdr:row>3</xdr:row>
      <xdr:rowOff>81590</xdr:rowOff>
    </xdr:from>
    <xdr:to>
      <xdr:col>5</xdr:col>
      <xdr:colOff>6350003</xdr:colOff>
      <xdr:row>5</xdr:row>
      <xdr:rowOff>84667</xdr:rowOff>
    </xdr:to>
    <xdr:cxnSp macro="">
      <xdr:nvCxnSpPr>
        <xdr:cNvPr id="23" name="Connector: Elbow 22">
          <a:extLst>
            <a:ext uri="{FF2B5EF4-FFF2-40B4-BE49-F238E27FC236}">
              <a16:creationId xmlns:a16="http://schemas.microsoft.com/office/drawing/2014/main" id="{AE68B514-FDB8-5CA0-954E-1FBB8D13C147}"/>
            </a:ext>
          </a:extLst>
        </xdr:cNvPr>
        <xdr:cNvCxnSpPr/>
      </xdr:nvCxnSpPr>
      <xdr:spPr>
        <a:xfrm>
          <a:off x="8734135" y="1063722"/>
          <a:ext cx="1019468" cy="697345"/>
        </a:xfrm>
        <a:prstGeom prst="bentConnector3">
          <a:avLst>
            <a:gd name="adj1" fmla="val 99830"/>
          </a:avLst>
        </a:prstGeom>
        <a:ln w="38100">
          <a:solidFill>
            <a:srgbClr val="4C743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6071098</xdr:colOff>
      <xdr:row>113</xdr:row>
      <xdr:rowOff>413008</xdr:rowOff>
    </xdr:from>
    <xdr:to>
      <xdr:col>7</xdr:col>
      <xdr:colOff>417139</xdr:colOff>
      <xdr:row>114</xdr:row>
      <xdr:rowOff>224117</xdr:rowOff>
    </xdr:to>
    <xdr:cxnSp macro="">
      <xdr:nvCxnSpPr>
        <xdr:cNvPr id="26" name="Connector: Elbow 25">
          <a:extLst>
            <a:ext uri="{FF2B5EF4-FFF2-40B4-BE49-F238E27FC236}">
              <a16:creationId xmlns:a16="http://schemas.microsoft.com/office/drawing/2014/main" id="{5ECBA437-56DE-4D00-8540-6BD2B2220FBA}"/>
            </a:ext>
          </a:extLst>
        </xdr:cNvPr>
        <xdr:cNvCxnSpPr/>
      </xdr:nvCxnSpPr>
      <xdr:spPr>
        <a:xfrm flipV="1">
          <a:off x="9457765" y="33507714"/>
          <a:ext cx="2648354" cy="224482"/>
        </a:xfrm>
        <a:prstGeom prst="bentConnector3">
          <a:avLst>
            <a:gd name="adj1" fmla="val 100399"/>
          </a:avLst>
        </a:prstGeom>
        <a:ln w="38100">
          <a:solidFill>
            <a:srgbClr val="D9641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6179733</xdr:colOff>
      <xdr:row>122</xdr:row>
      <xdr:rowOff>217076</xdr:rowOff>
    </xdr:from>
    <xdr:to>
      <xdr:col>6</xdr:col>
      <xdr:colOff>855769</xdr:colOff>
      <xdr:row>123</xdr:row>
      <xdr:rowOff>143497</xdr:rowOff>
    </xdr:to>
    <xdr:cxnSp macro="">
      <xdr:nvCxnSpPr>
        <xdr:cNvPr id="37" name="Connector: Elbow 36">
          <a:extLst>
            <a:ext uri="{FF2B5EF4-FFF2-40B4-BE49-F238E27FC236}">
              <a16:creationId xmlns:a16="http://schemas.microsoft.com/office/drawing/2014/main" id="{EA2AFFB0-A7F4-D084-D475-87528DD8E9C1}"/>
            </a:ext>
          </a:extLst>
        </xdr:cNvPr>
        <xdr:cNvCxnSpPr/>
      </xdr:nvCxnSpPr>
      <xdr:spPr>
        <a:xfrm flipV="1">
          <a:off x="9566400" y="35901585"/>
          <a:ext cx="1270075" cy="235206"/>
        </a:xfrm>
        <a:prstGeom prst="bentConnector3">
          <a:avLst>
            <a:gd name="adj1" fmla="val 100294"/>
          </a:avLst>
        </a:prstGeom>
        <a:ln w="38100">
          <a:solidFill>
            <a:srgbClr val="D9641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6150784</xdr:colOff>
      <xdr:row>123</xdr:row>
      <xdr:rowOff>5839</xdr:rowOff>
    </xdr:from>
    <xdr:to>
      <xdr:col>7</xdr:col>
      <xdr:colOff>610699</xdr:colOff>
      <xdr:row>124</xdr:row>
      <xdr:rowOff>258980</xdr:rowOff>
    </xdr:to>
    <xdr:cxnSp macro="">
      <xdr:nvCxnSpPr>
        <xdr:cNvPr id="38" name="Connector: Elbow 37">
          <a:extLst>
            <a:ext uri="{FF2B5EF4-FFF2-40B4-BE49-F238E27FC236}">
              <a16:creationId xmlns:a16="http://schemas.microsoft.com/office/drawing/2014/main" id="{51588EB2-D342-3F4C-006A-C3D6F32531FF}"/>
            </a:ext>
          </a:extLst>
        </xdr:cNvPr>
        <xdr:cNvCxnSpPr/>
      </xdr:nvCxnSpPr>
      <xdr:spPr>
        <a:xfrm flipV="1">
          <a:off x="9537451" y="35999133"/>
          <a:ext cx="2762228" cy="666514"/>
        </a:xfrm>
        <a:prstGeom prst="bentConnector3">
          <a:avLst>
            <a:gd name="adj1" fmla="val 100124"/>
          </a:avLst>
        </a:prstGeom>
        <a:ln w="38100">
          <a:solidFill>
            <a:srgbClr val="D9641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3460750</xdr:colOff>
      <xdr:row>76</xdr:row>
      <xdr:rowOff>222249</xdr:rowOff>
    </xdr:from>
    <xdr:to>
      <xdr:col>6</xdr:col>
      <xdr:colOff>571499</xdr:colOff>
      <xdr:row>89</xdr:row>
      <xdr:rowOff>395549</xdr:rowOff>
    </xdr:to>
    <xdr:cxnSp macro="">
      <xdr:nvCxnSpPr>
        <xdr:cNvPr id="7" name="Connector: Elbow 6">
          <a:extLst>
            <a:ext uri="{FF2B5EF4-FFF2-40B4-BE49-F238E27FC236}">
              <a16:creationId xmlns:a16="http://schemas.microsoft.com/office/drawing/2014/main" id="{D87FDF73-8F3D-50F6-9FCB-C04939B1D5B9}"/>
            </a:ext>
          </a:extLst>
        </xdr:cNvPr>
        <xdr:cNvCxnSpPr/>
      </xdr:nvCxnSpPr>
      <xdr:spPr>
        <a:xfrm rot="16200000" flipH="1">
          <a:off x="6760766" y="22650316"/>
          <a:ext cx="3898635" cy="3704167"/>
        </a:xfrm>
        <a:prstGeom prst="bentConnector3">
          <a:avLst>
            <a:gd name="adj1" fmla="val 322"/>
          </a:avLst>
        </a:prstGeom>
        <a:ln w="38100">
          <a:solidFill>
            <a:srgbClr val="4C743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3486977</xdr:colOff>
      <xdr:row>78</xdr:row>
      <xdr:rowOff>119001</xdr:rowOff>
    </xdr:from>
    <xdr:to>
      <xdr:col>6</xdr:col>
      <xdr:colOff>571499</xdr:colOff>
      <xdr:row>89</xdr:row>
      <xdr:rowOff>395550</xdr:rowOff>
    </xdr:to>
    <xdr:cxnSp macro="">
      <xdr:nvCxnSpPr>
        <xdr:cNvPr id="8" name="Connector: Elbow 7">
          <a:extLst>
            <a:ext uri="{FF2B5EF4-FFF2-40B4-BE49-F238E27FC236}">
              <a16:creationId xmlns:a16="http://schemas.microsoft.com/office/drawing/2014/main" id="{0CD86C9C-0340-E2E4-86BB-15A3C8F604CD}"/>
            </a:ext>
          </a:extLst>
        </xdr:cNvPr>
        <xdr:cNvCxnSpPr/>
      </xdr:nvCxnSpPr>
      <xdr:spPr>
        <a:xfrm>
          <a:off x="6873644" y="23072134"/>
          <a:ext cx="3680055" cy="3455783"/>
        </a:xfrm>
        <a:prstGeom prst="bentConnector3">
          <a:avLst>
            <a:gd name="adj1" fmla="val 99900"/>
          </a:avLst>
        </a:prstGeom>
        <a:ln w="38100">
          <a:solidFill>
            <a:srgbClr val="4C743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F533-3A10-4784-8867-EB7E7070E307}">
  <sheetPr codeName="Sheet2">
    <pageSetUpPr fitToPage="1"/>
  </sheetPr>
  <dimension ref="A1:X125"/>
  <sheetViews>
    <sheetView showGridLines="0" tabSelected="1" topLeftCell="A19" zoomScale="40" zoomScaleNormal="40" workbookViewId="0">
      <selection activeCell="D29" sqref="D29"/>
    </sheetView>
  </sheetViews>
  <sheetFormatPr defaultRowHeight="25.7" x14ac:dyDescent="0.5"/>
  <cols>
    <col min="1" max="1" width="8.9375" style="103"/>
    <col min="2" max="2" width="8.9375" style="104"/>
    <col min="3" max="3" width="8.9375" style="168"/>
    <col min="4" max="4" width="7.87890625" style="169" bestFit="1" customWidth="1"/>
    <col min="5" max="5" width="12.3515625" style="170" bestFit="1" customWidth="1"/>
    <col min="6" max="6" width="91.64453125" style="170" customWidth="1"/>
    <col min="7" max="7" width="23.76171875" style="170" customWidth="1"/>
    <col min="8" max="8" width="33" style="170" customWidth="1"/>
    <col min="9" max="9" width="11.64453125" style="171" customWidth="1"/>
    <col min="10" max="10" width="8.8203125" style="172" customWidth="1"/>
    <col min="11" max="11" width="11.64453125" style="173" customWidth="1"/>
    <col min="12" max="12" width="8.8203125" style="172" customWidth="1"/>
    <col min="13" max="13" width="11.64453125" style="171" customWidth="1"/>
    <col min="14" max="14" width="8.8203125" style="172" customWidth="1"/>
    <col min="15" max="15" width="11.64453125" style="171" customWidth="1"/>
    <col min="16" max="16" width="8.8203125" style="172" customWidth="1"/>
    <col min="17" max="17" width="11.64453125" style="171" customWidth="1"/>
    <col min="18" max="18" width="8.8203125" style="172" customWidth="1"/>
    <col min="19" max="19" width="11.64453125" style="171" customWidth="1"/>
    <col min="20" max="20" width="8.8203125" style="172" customWidth="1"/>
    <col min="21" max="21" width="11.64453125" style="171" customWidth="1"/>
    <col min="22" max="22" width="8.8203125" style="172" customWidth="1"/>
    <col min="23" max="23" width="17.234375" style="173" customWidth="1"/>
    <col min="24" max="24" width="24.5859375" style="172" customWidth="1"/>
    <col min="25" max="16384" width="8.9375" style="104"/>
  </cols>
  <sheetData>
    <row r="1" spans="1:24" ht="32.700000000000003" customHeight="1" thickBot="1" x14ac:dyDescent="0.55000000000000004">
      <c r="A1" s="279"/>
      <c r="B1" s="279"/>
      <c r="C1" s="280"/>
      <c r="D1" s="105" t="s">
        <v>273</v>
      </c>
      <c r="E1" s="105" t="s">
        <v>191</v>
      </c>
      <c r="F1" s="105" t="s">
        <v>243</v>
      </c>
      <c r="G1" s="105"/>
      <c r="H1" s="105" t="s">
        <v>193</v>
      </c>
      <c r="I1" s="174"/>
      <c r="J1" s="145"/>
      <c r="K1" s="145"/>
      <c r="L1" s="145"/>
      <c r="M1" s="175"/>
      <c r="N1" s="145"/>
      <c r="O1" s="175"/>
      <c r="P1" s="145"/>
      <c r="Q1" s="175"/>
      <c r="R1" s="145"/>
      <c r="S1" s="175"/>
      <c r="T1" s="145"/>
      <c r="U1" s="175"/>
      <c r="V1" s="146"/>
      <c r="W1" s="161"/>
      <c r="X1" s="146"/>
    </row>
    <row r="2" spans="1:24" ht="32.700000000000003" customHeight="1" thickBot="1" x14ac:dyDescent="0.55000000000000004">
      <c r="A2" s="176"/>
      <c r="B2" s="177"/>
      <c r="C2" s="177"/>
      <c r="D2" s="106">
        <v>21</v>
      </c>
      <c r="E2" s="107" t="str">
        <f>HLOOKUP(MOD(D2,12),note_names,2,TRUE) &amp; (INT(D2/12)-1)</f>
        <v>A0</v>
      </c>
      <c r="F2" s="127" t="s">
        <v>127</v>
      </c>
      <c r="G2" s="107"/>
      <c r="H2" s="134"/>
      <c r="I2" s="178"/>
      <c r="J2" s="147"/>
      <c r="K2" s="147"/>
      <c r="L2" s="147"/>
      <c r="M2" s="179"/>
      <c r="N2" s="147"/>
      <c r="O2" s="179"/>
      <c r="P2" s="147"/>
      <c r="Q2" s="179"/>
      <c r="R2" s="147"/>
      <c r="S2" s="179"/>
      <c r="T2" s="147"/>
      <c r="U2" s="179"/>
      <c r="V2" s="148"/>
      <c r="W2" s="162"/>
      <c r="X2" s="148"/>
    </row>
    <row r="3" spans="1:24" ht="11" customHeight="1" thickBot="1" x14ac:dyDescent="0.55000000000000004">
      <c r="A3" s="180"/>
      <c r="B3" s="181"/>
      <c r="C3" s="182"/>
      <c r="D3" s="281">
        <v>22</v>
      </c>
      <c r="E3" s="264" t="str">
        <f>HLOOKUP(MOD(D3,12),note_names,2,TRUE) &amp; (INT(D3/12)-1)</f>
        <v>A#/Bb0</v>
      </c>
      <c r="F3" s="266" t="s">
        <v>192</v>
      </c>
      <c r="G3" s="264"/>
      <c r="H3" s="265"/>
      <c r="I3" s="262"/>
      <c r="J3" s="246"/>
      <c r="K3" s="246"/>
      <c r="L3" s="246"/>
      <c r="M3" s="248"/>
      <c r="N3" s="246"/>
      <c r="O3" s="248"/>
      <c r="P3" s="246"/>
      <c r="Q3" s="248"/>
      <c r="R3" s="246"/>
      <c r="S3" s="248"/>
      <c r="T3" s="246"/>
      <c r="U3" s="248"/>
      <c r="V3" s="247"/>
      <c r="W3" s="252"/>
      <c r="X3" s="247"/>
    </row>
    <row r="4" spans="1:24" ht="21.45" customHeight="1" thickTop="1" thickBot="1" x14ac:dyDescent="0.55000000000000004">
      <c r="A4" s="185"/>
      <c r="B4" s="186"/>
      <c r="C4" s="187"/>
      <c r="D4" s="281"/>
      <c r="E4" s="264"/>
      <c r="F4" s="266"/>
      <c r="G4" s="264"/>
      <c r="H4" s="265"/>
      <c r="I4" s="262"/>
      <c r="J4" s="246"/>
      <c r="K4" s="246"/>
      <c r="L4" s="246"/>
      <c r="M4" s="248"/>
      <c r="N4" s="246"/>
      <c r="O4" s="248"/>
      <c r="P4" s="246"/>
      <c r="Q4" s="248"/>
      <c r="R4" s="246"/>
      <c r="S4" s="248"/>
      <c r="T4" s="246"/>
      <c r="U4" s="248"/>
      <c r="V4" s="247"/>
      <c r="W4" s="252"/>
      <c r="X4" s="247"/>
    </row>
    <row r="5" spans="1:24" ht="32.700000000000003" customHeight="1" thickBot="1" x14ac:dyDescent="0.55000000000000004">
      <c r="A5" s="180"/>
      <c r="B5" s="188"/>
      <c r="C5" s="188"/>
      <c r="D5" s="110">
        <v>23</v>
      </c>
      <c r="E5" s="111" t="str">
        <f>HLOOKUP(MOD(D5,12),note_names,2,TRUE) &amp; (INT(D5/12)-1)</f>
        <v>B0</v>
      </c>
      <c r="F5" s="128" t="s">
        <v>128</v>
      </c>
      <c r="G5" s="111"/>
      <c r="H5" s="133"/>
      <c r="I5" s="189"/>
      <c r="J5" s="151"/>
      <c r="K5" s="151"/>
      <c r="L5" s="151"/>
      <c r="M5" s="190"/>
      <c r="N5" s="151"/>
      <c r="O5" s="190"/>
      <c r="P5" s="151"/>
      <c r="Q5" s="190"/>
      <c r="R5" s="151"/>
      <c r="S5" s="190"/>
      <c r="T5" s="151"/>
      <c r="U5" s="190"/>
      <c r="V5" s="152"/>
      <c r="W5" s="164"/>
      <c r="X5" s="152"/>
    </row>
    <row r="6" spans="1:24" ht="32.700000000000003" customHeight="1" thickTop="1" thickBot="1" x14ac:dyDescent="0.55000000000000004">
      <c r="A6" s="185"/>
      <c r="B6" s="191"/>
      <c r="C6" s="191"/>
      <c r="D6" s="112">
        <v>24</v>
      </c>
      <c r="E6" s="112" t="str">
        <f>HLOOKUP(MOD(D6,12),note_names,2,TRUE) &amp; (INT(D6/12)-1)</f>
        <v>C1</v>
      </c>
      <c r="F6" s="123" t="s">
        <v>271</v>
      </c>
      <c r="G6" s="112"/>
      <c r="H6" s="132"/>
      <c r="I6" s="192"/>
      <c r="J6" s="153"/>
      <c r="K6" s="153"/>
      <c r="L6" s="153"/>
      <c r="M6" s="193"/>
      <c r="N6" s="153"/>
      <c r="O6" s="193"/>
      <c r="P6" s="153"/>
      <c r="Q6" s="193"/>
      <c r="R6" s="153"/>
      <c r="S6" s="193"/>
      <c r="T6" s="153"/>
      <c r="U6" s="193"/>
      <c r="V6" s="154"/>
      <c r="W6" s="165"/>
      <c r="X6" s="154"/>
    </row>
    <row r="7" spans="1:24" ht="21.7" customHeight="1" thickBot="1" x14ac:dyDescent="0.55000000000000004">
      <c r="A7" s="180"/>
      <c r="B7" s="181"/>
      <c r="C7" s="182"/>
      <c r="D7" s="264">
        <f>D6+1</f>
        <v>25</v>
      </c>
      <c r="E7" s="264" t="str">
        <f>HLOOKUP(MOD(D7,12),note_names,2,TRUE) &amp; (INT(D7/12)-1)</f>
        <v>C#/Db1</v>
      </c>
      <c r="F7" s="263" t="s">
        <v>270</v>
      </c>
      <c r="G7" s="264"/>
      <c r="H7" s="265"/>
      <c r="I7" s="262"/>
      <c r="J7" s="246"/>
      <c r="K7" s="246"/>
      <c r="L7" s="246"/>
      <c r="M7" s="248"/>
      <c r="N7" s="246"/>
      <c r="O7" s="248"/>
      <c r="P7" s="246"/>
      <c r="Q7" s="248"/>
      <c r="R7" s="246"/>
      <c r="S7" s="248"/>
      <c r="T7" s="246"/>
      <c r="U7" s="248"/>
      <c r="V7" s="247"/>
      <c r="W7" s="252"/>
      <c r="X7" s="247"/>
    </row>
    <row r="8" spans="1:24" ht="11" customHeight="1" thickTop="1" thickBot="1" x14ac:dyDescent="0.55000000000000004">
      <c r="A8" s="185"/>
      <c r="B8" s="186"/>
      <c r="C8" s="187"/>
      <c r="D8" s="264"/>
      <c r="E8" s="264"/>
      <c r="F8" s="263"/>
      <c r="G8" s="264"/>
      <c r="H8" s="265"/>
      <c r="I8" s="262"/>
      <c r="J8" s="246"/>
      <c r="K8" s="246"/>
      <c r="L8" s="246"/>
      <c r="M8" s="248"/>
      <c r="N8" s="246"/>
      <c r="O8" s="248"/>
      <c r="P8" s="246"/>
      <c r="Q8" s="248"/>
      <c r="R8" s="246"/>
      <c r="S8" s="248"/>
      <c r="T8" s="246"/>
      <c r="U8" s="248"/>
      <c r="V8" s="247"/>
      <c r="W8" s="252"/>
      <c r="X8" s="247"/>
    </row>
    <row r="9" spans="1:24" ht="32.700000000000003" customHeight="1" thickBot="1" x14ac:dyDescent="0.55000000000000004">
      <c r="A9" s="185"/>
      <c r="B9" s="191"/>
      <c r="C9" s="191"/>
      <c r="D9" s="109">
        <f>D7+1</f>
        <v>26</v>
      </c>
      <c r="E9" s="109" t="str">
        <f>HLOOKUP(MOD(D9,12),note_names,2,TRUE) &amp; (INT(D9/12)-1)</f>
        <v>D1</v>
      </c>
      <c r="F9" s="124" t="s">
        <v>269</v>
      </c>
      <c r="G9" s="109"/>
      <c r="H9" s="131"/>
      <c r="I9" s="183"/>
      <c r="J9" s="149"/>
      <c r="K9" s="149"/>
      <c r="L9" s="149"/>
      <c r="M9" s="184"/>
      <c r="N9" s="149"/>
      <c r="O9" s="184"/>
      <c r="P9" s="149"/>
      <c r="Q9" s="184"/>
      <c r="R9" s="149"/>
      <c r="S9" s="184"/>
      <c r="T9" s="149"/>
      <c r="U9" s="184"/>
      <c r="V9" s="150"/>
      <c r="W9" s="163"/>
      <c r="X9" s="150"/>
    </row>
    <row r="10" spans="1:24" ht="11" customHeight="1" thickBot="1" x14ac:dyDescent="0.55000000000000004">
      <c r="A10" s="194"/>
      <c r="B10" s="181"/>
      <c r="C10" s="182"/>
      <c r="D10" s="264">
        <f>D9+1</f>
        <v>27</v>
      </c>
      <c r="E10" s="264" t="str">
        <f>HLOOKUP(MOD(D10,12),note_names,2,TRUE) &amp; (INT(D10/12)-1)</f>
        <v>D#/Eb1</v>
      </c>
      <c r="F10" s="263" t="s">
        <v>268</v>
      </c>
      <c r="G10" s="264"/>
      <c r="H10" s="265" t="s">
        <v>130</v>
      </c>
      <c r="I10" s="262"/>
      <c r="J10" s="246"/>
      <c r="K10" s="246"/>
      <c r="L10" s="246"/>
      <c r="M10" s="248"/>
      <c r="N10" s="246"/>
      <c r="O10" s="248"/>
      <c r="P10" s="246"/>
      <c r="Q10" s="248"/>
      <c r="R10" s="246"/>
      <c r="S10" s="248"/>
      <c r="T10" s="246"/>
      <c r="U10" s="248"/>
      <c r="V10" s="247"/>
      <c r="W10" s="252"/>
      <c r="X10" s="247"/>
    </row>
    <row r="11" spans="1:24" ht="21.7" customHeight="1" thickTop="1" thickBot="1" x14ac:dyDescent="0.55000000000000004">
      <c r="A11" s="185"/>
      <c r="B11" s="186"/>
      <c r="C11" s="187"/>
      <c r="D11" s="264"/>
      <c r="E11" s="264"/>
      <c r="F11" s="263"/>
      <c r="G11" s="264"/>
      <c r="H11" s="265"/>
      <c r="I11" s="262"/>
      <c r="J11" s="246"/>
      <c r="K11" s="246"/>
      <c r="L11" s="246"/>
      <c r="M11" s="248"/>
      <c r="N11" s="246"/>
      <c r="O11" s="248"/>
      <c r="P11" s="246"/>
      <c r="Q11" s="248"/>
      <c r="R11" s="246"/>
      <c r="S11" s="248"/>
      <c r="T11" s="246"/>
      <c r="U11" s="248"/>
      <c r="V11" s="247"/>
      <c r="W11" s="252"/>
      <c r="X11" s="247"/>
    </row>
    <row r="12" spans="1:24" ht="32.700000000000003" customHeight="1" thickBot="1" x14ac:dyDescent="0.55000000000000004">
      <c r="A12" s="180"/>
      <c r="B12" s="188"/>
      <c r="C12" s="188"/>
      <c r="D12" s="109">
        <f>D10+1</f>
        <v>28</v>
      </c>
      <c r="E12" s="109" t="str">
        <f>HLOOKUP(MOD(D12,12),note_names,2,TRUE) &amp; (INT(D12/12)-1)</f>
        <v>E1</v>
      </c>
      <c r="F12" s="124" t="s">
        <v>267</v>
      </c>
      <c r="G12" s="109"/>
      <c r="H12" s="121" t="s">
        <v>131</v>
      </c>
      <c r="I12" s="183"/>
      <c r="J12" s="149"/>
      <c r="K12" s="149"/>
      <c r="L12" s="149"/>
      <c r="M12" s="184"/>
      <c r="N12" s="149"/>
      <c r="O12" s="184"/>
      <c r="P12" s="149"/>
      <c r="Q12" s="184"/>
      <c r="R12" s="149"/>
      <c r="S12" s="184"/>
      <c r="T12" s="149"/>
      <c r="U12" s="184"/>
      <c r="V12" s="150"/>
      <c r="W12" s="163"/>
      <c r="X12" s="150"/>
    </row>
    <row r="13" spans="1:24" ht="32.700000000000003" customHeight="1" thickTop="1" thickBot="1" x14ac:dyDescent="0.55000000000000004">
      <c r="A13" s="185"/>
      <c r="B13" s="191"/>
      <c r="C13" s="191"/>
      <c r="D13" s="109">
        <f>D12+1</f>
        <v>29</v>
      </c>
      <c r="E13" s="109" t="str">
        <f>HLOOKUP(MOD(D13,12),note_names,2,TRUE) &amp; (INT(D13/12)-1)</f>
        <v>F1</v>
      </c>
      <c r="F13" s="124" t="s">
        <v>266</v>
      </c>
      <c r="G13" s="109"/>
      <c r="H13" s="121" t="s">
        <v>132</v>
      </c>
      <c r="I13" s="183"/>
      <c r="J13" s="149"/>
      <c r="K13" s="149"/>
      <c r="L13" s="149"/>
      <c r="M13" s="184"/>
      <c r="N13" s="149"/>
      <c r="O13" s="184"/>
      <c r="P13" s="149"/>
      <c r="Q13" s="184"/>
      <c r="R13" s="149"/>
      <c r="S13" s="184"/>
      <c r="T13" s="149"/>
      <c r="U13" s="184"/>
      <c r="V13" s="150"/>
      <c r="W13" s="163"/>
      <c r="X13" s="150"/>
    </row>
    <row r="14" spans="1:24" ht="24.45" customHeight="1" thickBot="1" x14ac:dyDescent="0.55000000000000004">
      <c r="A14" s="180"/>
      <c r="B14" s="181"/>
      <c r="C14" s="182"/>
      <c r="D14" s="264">
        <f>D13+1</f>
        <v>30</v>
      </c>
      <c r="E14" s="264" t="str">
        <f>HLOOKUP(MOD(D14,12),note_names,2,TRUE) &amp; (INT(D14/12)-1)</f>
        <v>F#/Gb1</v>
      </c>
      <c r="F14" s="263" t="s">
        <v>265</v>
      </c>
      <c r="G14" s="264"/>
      <c r="H14" s="267" t="s">
        <v>133</v>
      </c>
      <c r="I14" s="262"/>
      <c r="J14" s="246"/>
      <c r="K14" s="246"/>
      <c r="L14" s="246"/>
      <c r="M14" s="248"/>
      <c r="N14" s="246"/>
      <c r="O14" s="248"/>
      <c r="P14" s="246"/>
      <c r="Q14" s="248"/>
      <c r="R14" s="246"/>
      <c r="S14" s="248"/>
      <c r="T14" s="246"/>
      <c r="U14" s="248"/>
      <c r="V14" s="247"/>
      <c r="W14" s="252"/>
      <c r="X14" s="247"/>
    </row>
    <row r="15" spans="1:24" ht="8.4499999999999993" customHeight="1" thickTop="1" thickBot="1" x14ac:dyDescent="0.55000000000000004">
      <c r="A15" s="185"/>
      <c r="B15" s="186"/>
      <c r="C15" s="187"/>
      <c r="D15" s="264"/>
      <c r="E15" s="264"/>
      <c r="F15" s="263"/>
      <c r="G15" s="264"/>
      <c r="H15" s="267"/>
      <c r="I15" s="262"/>
      <c r="J15" s="246"/>
      <c r="K15" s="246"/>
      <c r="L15" s="246"/>
      <c r="M15" s="248"/>
      <c r="N15" s="246"/>
      <c r="O15" s="248"/>
      <c r="P15" s="246"/>
      <c r="Q15" s="248"/>
      <c r="R15" s="246"/>
      <c r="S15" s="248"/>
      <c r="T15" s="246"/>
      <c r="U15" s="248"/>
      <c r="V15" s="247"/>
      <c r="W15" s="252"/>
      <c r="X15" s="247"/>
    </row>
    <row r="16" spans="1:24" ht="32.700000000000003" customHeight="1" thickBot="1" x14ac:dyDescent="0.55000000000000004">
      <c r="A16" s="185"/>
      <c r="B16" s="191"/>
      <c r="C16" s="191"/>
      <c r="D16" s="109">
        <f>D14+1</f>
        <v>31</v>
      </c>
      <c r="E16" s="109" t="str">
        <f>HLOOKUP(MOD(D16,12),note_names,2,TRUE) &amp; (INT(D16/12)-1)</f>
        <v>G1</v>
      </c>
      <c r="F16" s="124" t="s">
        <v>264</v>
      </c>
      <c r="G16" s="109"/>
      <c r="H16" s="121" t="s">
        <v>134</v>
      </c>
      <c r="I16" s="183"/>
      <c r="J16" s="149"/>
      <c r="K16" s="149"/>
      <c r="L16" s="149"/>
      <c r="M16" s="184"/>
      <c r="N16" s="149"/>
      <c r="O16" s="184"/>
      <c r="P16" s="149"/>
      <c r="Q16" s="184"/>
      <c r="R16" s="149"/>
      <c r="S16" s="184"/>
      <c r="T16" s="149"/>
      <c r="U16" s="184"/>
      <c r="V16" s="150"/>
      <c r="W16" s="163"/>
      <c r="X16" s="150"/>
    </row>
    <row r="17" spans="1:24" ht="16.45" customHeight="1" thickBot="1" x14ac:dyDescent="0.55000000000000004">
      <c r="A17" s="180"/>
      <c r="B17" s="181"/>
      <c r="C17" s="182"/>
      <c r="D17" s="264">
        <f>D16+1</f>
        <v>32</v>
      </c>
      <c r="E17" s="264" t="str">
        <f>HLOOKUP(MOD(D17,12),note_names,2,TRUE) &amp; (INT(D17/12)-1)</f>
        <v>G#/Ab1</v>
      </c>
      <c r="F17" s="263" t="s">
        <v>263</v>
      </c>
      <c r="G17" s="264"/>
      <c r="H17" s="267" t="s">
        <v>135</v>
      </c>
      <c r="I17" s="262"/>
      <c r="J17" s="246"/>
      <c r="K17" s="246"/>
      <c r="L17" s="246"/>
      <c r="M17" s="248"/>
      <c r="N17" s="246"/>
      <c r="O17" s="248"/>
      <c r="P17" s="246"/>
      <c r="Q17" s="248"/>
      <c r="R17" s="246"/>
      <c r="S17" s="248"/>
      <c r="T17" s="246"/>
      <c r="U17" s="248"/>
      <c r="V17" s="247"/>
      <c r="W17" s="252"/>
      <c r="X17" s="247"/>
    </row>
    <row r="18" spans="1:24" ht="16.45" customHeight="1" thickTop="1" thickBot="1" x14ac:dyDescent="0.55000000000000004">
      <c r="A18" s="185"/>
      <c r="B18" s="186"/>
      <c r="C18" s="187"/>
      <c r="D18" s="264"/>
      <c r="E18" s="264"/>
      <c r="F18" s="263"/>
      <c r="G18" s="264"/>
      <c r="H18" s="267"/>
      <c r="I18" s="262"/>
      <c r="J18" s="246"/>
      <c r="K18" s="246"/>
      <c r="L18" s="246"/>
      <c r="M18" s="248"/>
      <c r="N18" s="246"/>
      <c r="O18" s="248"/>
      <c r="P18" s="246"/>
      <c r="Q18" s="248"/>
      <c r="R18" s="246"/>
      <c r="S18" s="248"/>
      <c r="T18" s="246"/>
      <c r="U18" s="248"/>
      <c r="V18" s="247"/>
      <c r="W18" s="252"/>
      <c r="X18" s="247"/>
    </row>
    <row r="19" spans="1:24" ht="32.700000000000003" customHeight="1" thickBot="1" x14ac:dyDescent="0.55000000000000004">
      <c r="A19" s="185"/>
      <c r="B19" s="191"/>
      <c r="C19" s="191"/>
      <c r="D19" s="109">
        <f>D17+1</f>
        <v>33</v>
      </c>
      <c r="E19" s="109" t="str">
        <f>HLOOKUP(MOD(D19,12),note_names,2,TRUE) &amp; (INT(D19/12)-1)</f>
        <v>A1</v>
      </c>
      <c r="F19" s="124" t="s">
        <v>248</v>
      </c>
      <c r="G19" s="109"/>
      <c r="H19" s="121" t="s">
        <v>136</v>
      </c>
      <c r="I19" s="183"/>
      <c r="J19" s="149"/>
      <c r="K19" s="149"/>
      <c r="L19" s="149"/>
      <c r="M19" s="184"/>
      <c r="N19" s="149"/>
      <c r="O19" s="184"/>
      <c r="P19" s="149"/>
      <c r="Q19" s="184"/>
      <c r="R19" s="149"/>
      <c r="S19" s="184"/>
      <c r="T19" s="149"/>
      <c r="U19" s="184"/>
      <c r="V19" s="150"/>
      <c r="W19" s="163"/>
      <c r="X19" s="150"/>
    </row>
    <row r="20" spans="1:24" ht="8.4499999999999993" customHeight="1" thickBot="1" x14ac:dyDescent="0.55000000000000004">
      <c r="A20" s="180"/>
      <c r="B20" s="181"/>
      <c r="C20" s="182"/>
      <c r="D20" s="264">
        <f>D19+1</f>
        <v>34</v>
      </c>
      <c r="E20" s="264" t="str">
        <f>HLOOKUP(MOD(D20,12),note_names,2,TRUE) &amp; (INT(D20/12)-1)</f>
        <v>A#/Bb1</v>
      </c>
      <c r="F20" s="263" t="s">
        <v>249</v>
      </c>
      <c r="G20" s="264"/>
      <c r="H20" s="267" t="s">
        <v>137</v>
      </c>
      <c r="I20" s="262"/>
      <c r="J20" s="246"/>
      <c r="K20" s="246"/>
      <c r="L20" s="246"/>
      <c r="M20" s="248"/>
      <c r="N20" s="246"/>
      <c r="O20" s="248"/>
      <c r="P20" s="246"/>
      <c r="Q20" s="248"/>
      <c r="R20" s="246"/>
      <c r="S20" s="248"/>
      <c r="T20" s="246"/>
      <c r="U20" s="248"/>
      <c r="V20" s="247"/>
      <c r="W20" s="252"/>
      <c r="X20" s="247"/>
    </row>
    <row r="21" spans="1:24" ht="24.45" customHeight="1" thickTop="1" thickBot="1" x14ac:dyDescent="0.55000000000000004">
      <c r="A21" s="185"/>
      <c r="B21" s="186"/>
      <c r="C21" s="187"/>
      <c r="D21" s="264"/>
      <c r="E21" s="264"/>
      <c r="F21" s="263"/>
      <c r="G21" s="264"/>
      <c r="H21" s="267"/>
      <c r="I21" s="262"/>
      <c r="J21" s="246"/>
      <c r="K21" s="246"/>
      <c r="L21" s="246"/>
      <c r="M21" s="248"/>
      <c r="N21" s="246"/>
      <c r="O21" s="248"/>
      <c r="P21" s="246"/>
      <c r="Q21" s="248"/>
      <c r="R21" s="246"/>
      <c r="S21" s="248"/>
      <c r="T21" s="246"/>
      <c r="U21" s="248"/>
      <c r="V21" s="247"/>
      <c r="W21" s="252"/>
      <c r="X21" s="247"/>
    </row>
    <row r="22" spans="1:24" ht="32.700000000000003" customHeight="1" thickBot="1" x14ac:dyDescent="0.55000000000000004">
      <c r="A22" s="180"/>
      <c r="B22" s="188"/>
      <c r="C22" s="188"/>
      <c r="D22" s="111">
        <f>+D20+1</f>
        <v>35</v>
      </c>
      <c r="E22" s="111" t="str">
        <f>HLOOKUP(MOD(D22,12),note_names,2,TRUE) &amp; (INT(D22/12)-1)</f>
        <v>B1</v>
      </c>
      <c r="F22" s="124" t="s">
        <v>250</v>
      </c>
      <c r="G22" s="111"/>
      <c r="H22" s="129" t="s">
        <v>138</v>
      </c>
      <c r="I22" s="189"/>
      <c r="J22" s="151"/>
      <c r="K22" s="151"/>
      <c r="L22" s="151"/>
      <c r="M22" s="190"/>
      <c r="N22" s="151"/>
      <c r="O22" s="190"/>
      <c r="P22" s="151"/>
      <c r="Q22" s="190"/>
      <c r="R22" s="151"/>
      <c r="S22" s="190"/>
      <c r="T22" s="151"/>
      <c r="U22" s="190"/>
      <c r="V22" s="152"/>
      <c r="W22" s="164"/>
      <c r="X22" s="152"/>
    </row>
    <row r="23" spans="1:24" ht="32.700000000000003" customHeight="1" thickTop="1" thickBot="1" x14ac:dyDescent="0.55000000000000004">
      <c r="A23" s="185"/>
      <c r="B23" s="191"/>
      <c r="C23" s="191"/>
      <c r="D23" s="112">
        <f>D22+1</f>
        <v>36</v>
      </c>
      <c r="E23" s="112" t="str">
        <f>HLOOKUP(MOD(D23,12),note_names,2,TRUE) &amp; (INT(D23/12)-1)</f>
        <v>C2</v>
      </c>
      <c r="F23" s="123" t="s">
        <v>251</v>
      </c>
      <c r="G23" s="112"/>
      <c r="H23" s="130" t="s">
        <v>139</v>
      </c>
      <c r="I23" s="192"/>
      <c r="J23" s="153"/>
      <c r="K23" s="153"/>
      <c r="L23" s="153"/>
      <c r="M23" s="193"/>
      <c r="N23" s="153"/>
      <c r="O23" s="193"/>
      <c r="P23" s="153"/>
      <c r="Q23" s="193"/>
      <c r="R23" s="153"/>
      <c r="S23" s="193"/>
      <c r="T23" s="153"/>
      <c r="U23" s="193"/>
      <c r="V23" s="154"/>
      <c r="W23" s="165"/>
      <c r="X23" s="154"/>
    </row>
    <row r="24" spans="1:24" ht="21.7" customHeight="1" thickBot="1" x14ac:dyDescent="0.55000000000000004">
      <c r="A24" s="180"/>
      <c r="B24" s="181"/>
      <c r="C24" s="182"/>
      <c r="D24" s="264">
        <f>D23+1</f>
        <v>37</v>
      </c>
      <c r="E24" s="264" t="str">
        <f>HLOOKUP(MOD(D24,12),note_names,2,TRUE) &amp; (INT(D24/12)-1)</f>
        <v>C#/Db2</v>
      </c>
      <c r="F24" s="263" t="s">
        <v>252</v>
      </c>
      <c r="G24" s="264"/>
      <c r="H24" s="267" t="s">
        <v>140</v>
      </c>
      <c r="I24" s="262"/>
      <c r="J24" s="246"/>
      <c r="K24" s="246"/>
      <c r="L24" s="246"/>
      <c r="M24" s="248"/>
      <c r="N24" s="246"/>
      <c r="O24" s="248"/>
      <c r="P24" s="246"/>
      <c r="Q24" s="248"/>
      <c r="R24" s="246"/>
      <c r="S24" s="248"/>
      <c r="T24" s="246"/>
      <c r="U24" s="248"/>
      <c r="V24" s="247"/>
      <c r="W24" s="252"/>
      <c r="X24" s="247"/>
    </row>
    <row r="25" spans="1:24" ht="11" customHeight="1" thickTop="1" thickBot="1" x14ac:dyDescent="0.55000000000000004">
      <c r="A25" s="185"/>
      <c r="B25" s="186"/>
      <c r="C25" s="187"/>
      <c r="D25" s="264"/>
      <c r="E25" s="264"/>
      <c r="F25" s="263"/>
      <c r="G25" s="264"/>
      <c r="H25" s="267"/>
      <c r="I25" s="262"/>
      <c r="J25" s="246"/>
      <c r="K25" s="246"/>
      <c r="L25" s="246"/>
      <c r="M25" s="248"/>
      <c r="N25" s="246"/>
      <c r="O25" s="248"/>
      <c r="P25" s="246"/>
      <c r="Q25" s="248"/>
      <c r="R25" s="246"/>
      <c r="S25" s="248"/>
      <c r="T25" s="246"/>
      <c r="U25" s="248"/>
      <c r="V25" s="247"/>
      <c r="W25" s="252"/>
      <c r="X25" s="247"/>
    </row>
    <row r="26" spans="1:24" ht="32.700000000000003" customHeight="1" thickBot="1" x14ac:dyDescent="0.55000000000000004">
      <c r="A26" s="185"/>
      <c r="B26" s="191"/>
      <c r="C26" s="191"/>
      <c r="D26" s="109">
        <f>D24+1</f>
        <v>38</v>
      </c>
      <c r="E26" s="109" t="str">
        <f>HLOOKUP(MOD(D26,12),note_names,2,TRUE) &amp; (INT(D26/12)-1)</f>
        <v>D2</v>
      </c>
      <c r="F26" s="124" t="s">
        <v>253</v>
      </c>
      <c r="G26" s="109"/>
      <c r="H26" s="121" t="s">
        <v>141</v>
      </c>
      <c r="I26" s="183"/>
      <c r="J26" s="149"/>
      <c r="K26" s="149"/>
      <c r="L26" s="149"/>
      <c r="M26" s="184"/>
      <c r="N26" s="149"/>
      <c r="O26" s="184"/>
      <c r="P26" s="149"/>
      <c r="Q26" s="184"/>
      <c r="R26" s="149"/>
      <c r="S26" s="184"/>
      <c r="T26" s="149"/>
      <c r="U26" s="184"/>
      <c r="V26" s="150"/>
      <c r="W26" s="163"/>
      <c r="X26" s="150"/>
    </row>
    <row r="27" spans="1:24" ht="11" customHeight="1" thickBot="1" x14ac:dyDescent="0.55000000000000004">
      <c r="A27" s="194"/>
      <c r="B27" s="181"/>
      <c r="C27" s="182"/>
      <c r="D27" s="264">
        <f>D26+1</f>
        <v>39</v>
      </c>
      <c r="E27" s="264" t="str">
        <f>HLOOKUP(MOD(D27,12),note_names,2,TRUE) &amp; (INT(D27/12)-1)</f>
        <v>D#/Eb2</v>
      </c>
      <c r="F27" s="263" t="s">
        <v>254</v>
      </c>
      <c r="G27" s="264"/>
      <c r="H27" s="267" t="s">
        <v>142</v>
      </c>
      <c r="I27" s="262"/>
      <c r="J27" s="246"/>
      <c r="K27" s="246"/>
      <c r="L27" s="246"/>
      <c r="M27" s="248"/>
      <c r="N27" s="246"/>
      <c r="O27" s="248"/>
      <c r="P27" s="246"/>
      <c r="Q27" s="248"/>
      <c r="R27" s="246"/>
      <c r="S27" s="248"/>
      <c r="T27" s="246"/>
      <c r="U27" s="248"/>
      <c r="V27" s="247"/>
      <c r="W27" s="252"/>
      <c r="X27" s="247"/>
    </row>
    <row r="28" spans="1:24" ht="21.7" customHeight="1" thickTop="1" thickBot="1" x14ac:dyDescent="0.55000000000000004">
      <c r="A28" s="185"/>
      <c r="B28" s="186"/>
      <c r="C28" s="187"/>
      <c r="D28" s="264"/>
      <c r="E28" s="264"/>
      <c r="F28" s="263"/>
      <c r="G28" s="264"/>
      <c r="H28" s="267"/>
      <c r="I28" s="262"/>
      <c r="J28" s="246"/>
      <c r="K28" s="246"/>
      <c r="L28" s="246"/>
      <c r="M28" s="248"/>
      <c r="N28" s="246"/>
      <c r="O28" s="248"/>
      <c r="P28" s="246"/>
      <c r="Q28" s="248"/>
      <c r="R28" s="246"/>
      <c r="S28" s="248"/>
      <c r="T28" s="246"/>
      <c r="U28" s="248"/>
      <c r="V28" s="247"/>
      <c r="W28" s="252"/>
      <c r="X28" s="247"/>
    </row>
    <row r="29" spans="1:24" ht="32.700000000000003" customHeight="1" thickBot="1" x14ac:dyDescent="0.55000000000000004">
      <c r="A29" s="180"/>
      <c r="B29" s="188"/>
      <c r="C29" s="188"/>
      <c r="D29" s="109">
        <f>D27+1</f>
        <v>40</v>
      </c>
      <c r="E29" s="109" t="str">
        <f>HLOOKUP(MOD(D29,12),note_names,2,TRUE) &amp; (INT(D29/12)-1)</f>
        <v>E2</v>
      </c>
      <c r="F29" s="124" t="s">
        <v>255</v>
      </c>
      <c r="G29" s="109"/>
      <c r="H29" s="121" t="s">
        <v>143</v>
      </c>
      <c r="I29" s="183"/>
      <c r="J29" s="149"/>
      <c r="K29" s="149"/>
      <c r="L29" s="149"/>
      <c r="M29" s="184"/>
      <c r="N29" s="149"/>
      <c r="O29" s="184"/>
      <c r="P29" s="149"/>
      <c r="Q29" s="184"/>
      <c r="R29" s="149"/>
      <c r="S29" s="184"/>
      <c r="T29" s="149"/>
      <c r="U29" s="184"/>
      <c r="V29" s="150"/>
      <c r="W29" s="163"/>
      <c r="X29" s="150"/>
    </row>
    <row r="30" spans="1:24" ht="32.700000000000003" customHeight="1" thickTop="1" thickBot="1" x14ac:dyDescent="0.55000000000000004">
      <c r="A30" s="185"/>
      <c r="B30" s="191"/>
      <c r="C30" s="191"/>
      <c r="D30" s="109">
        <f>D29+1</f>
        <v>41</v>
      </c>
      <c r="E30" s="109" t="str">
        <f>HLOOKUP(MOD(D30,12),note_names,2,TRUE) &amp; (INT(D30/12)-1)</f>
        <v>F2</v>
      </c>
      <c r="F30" s="124" t="s">
        <v>256</v>
      </c>
      <c r="G30" s="109"/>
      <c r="H30" s="121" t="s">
        <v>144</v>
      </c>
      <c r="I30" s="183"/>
      <c r="J30" s="149"/>
      <c r="K30" s="149"/>
      <c r="L30" s="149"/>
      <c r="M30" s="184"/>
      <c r="N30" s="149"/>
      <c r="O30" s="184"/>
      <c r="P30" s="149"/>
      <c r="Q30" s="184"/>
      <c r="R30" s="149"/>
      <c r="S30" s="184"/>
      <c r="T30" s="149"/>
      <c r="U30" s="184"/>
      <c r="V30" s="150"/>
      <c r="W30" s="163"/>
      <c r="X30" s="150"/>
    </row>
    <row r="31" spans="1:24" ht="24.5" customHeight="1" thickBot="1" x14ac:dyDescent="0.55000000000000004">
      <c r="A31" s="180"/>
      <c r="B31" s="181"/>
      <c r="C31" s="182"/>
      <c r="D31" s="264">
        <f>D30+1</f>
        <v>42</v>
      </c>
      <c r="E31" s="264" t="str">
        <f>HLOOKUP(MOD(D31,12),note_names,2,TRUE) &amp; (INT(D31/12)-1)</f>
        <v>F#/Gb2</v>
      </c>
      <c r="F31" s="263" t="s">
        <v>257</v>
      </c>
      <c r="G31" s="264"/>
      <c r="H31" s="267" t="s">
        <v>145</v>
      </c>
      <c r="I31" s="262"/>
      <c r="J31" s="246"/>
      <c r="K31" s="246"/>
      <c r="L31" s="246"/>
      <c r="M31" s="248"/>
      <c r="N31" s="246"/>
      <c r="O31" s="248"/>
      <c r="P31" s="246"/>
      <c r="Q31" s="248"/>
      <c r="R31" s="246"/>
      <c r="S31" s="248"/>
      <c r="T31" s="246"/>
      <c r="U31" s="248"/>
      <c r="V31" s="247"/>
      <c r="W31" s="252"/>
      <c r="X31" s="247"/>
    </row>
    <row r="32" spans="1:24" ht="8.5" customHeight="1" thickTop="1" thickBot="1" x14ac:dyDescent="0.55000000000000004">
      <c r="A32" s="185"/>
      <c r="B32" s="186"/>
      <c r="C32" s="187"/>
      <c r="D32" s="264"/>
      <c r="E32" s="264"/>
      <c r="F32" s="263"/>
      <c r="G32" s="264"/>
      <c r="H32" s="267"/>
      <c r="I32" s="262"/>
      <c r="J32" s="246"/>
      <c r="K32" s="246"/>
      <c r="L32" s="246"/>
      <c r="M32" s="248"/>
      <c r="N32" s="246"/>
      <c r="O32" s="248"/>
      <c r="P32" s="246"/>
      <c r="Q32" s="248"/>
      <c r="R32" s="246"/>
      <c r="S32" s="248"/>
      <c r="T32" s="246"/>
      <c r="U32" s="248"/>
      <c r="V32" s="247"/>
      <c r="W32" s="252"/>
      <c r="X32" s="247"/>
    </row>
    <row r="33" spans="1:24" ht="32.700000000000003" customHeight="1" thickBot="1" x14ac:dyDescent="0.55000000000000004">
      <c r="A33" s="185"/>
      <c r="B33" s="191"/>
      <c r="C33" s="191"/>
      <c r="D33" s="109">
        <f>D31+1</f>
        <v>43</v>
      </c>
      <c r="E33" s="109" t="str">
        <f>HLOOKUP(MOD(D33,12),note_names,2,TRUE) &amp; (INT(D33/12)-1)</f>
        <v>G2</v>
      </c>
      <c r="F33" s="124" t="s">
        <v>258</v>
      </c>
      <c r="G33" s="109"/>
      <c r="H33" s="121" t="s">
        <v>146</v>
      </c>
      <c r="I33" s="183"/>
      <c r="J33" s="149"/>
      <c r="K33" s="149"/>
      <c r="L33" s="149"/>
      <c r="M33" s="184"/>
      <c r="N33" s="149"/>
      <c r="O33" s="184"/>
      <c r="P33" s="149"/>
      <c r="Q33" s="184"/>
      <c r="R33" s="149"/>
      <c r="S33" s="184"/>
      <c r="T33" s="149"/>
      <c r="U33" s="184"/>
      <c r="V33" s="150"/>
      <c r="W33" s="163"/>
      <c r="X33" s="150"/>
    </row>
    <row r="34" spans="1:24" ht="16.5" customHeight="1" thickBot="1" x14ac:dyDescent="0.55000000000000004">
      <c r="A34" s="180"/>
      <c r="B34" s="181"/>
      <c r="C34" s="182"/>
      <c r="D34" s="264">
        <f>D33+1</f>
        <v>44</v>
      </c>
      <c r="E34" s="264" t="str">
        <f>HLOOKUP(MOD(D34,12),note_names,2,TRUE) &amp; (INT(D34/12)-1)</f>
        <v>G#/Ab2</v>
      </c>
      <c r="F34" s="263" t="s">
        <v>259</v>
      </c>
      <c r="G34" s="264"/>
      <c r="H34" s="267" t="s">
        <v>147</v>
      </c>
      <c r="I34" s="262"/>
      <c r="J34" s="246"/>
      <c r="K34" s="246"/>
      <c r="L34" s="246"/>
      <c r="M34" s="248"/>
      <c r="N34" s="246"/>
      <c r="O34" s="248"/>
      <c r="P34" s="246"/>
      <c r="Q34" s="248"/>
      <c r="R34" s="246"/>
      <c r="S34" s="248"/>
      <c r="T34" s="246"/>
      <c r="U34" s="248"/>
      <c r="V34" s="247"/>
      <c r="W34" s="252"/>
      <c r="X34" s="247"/>
    </row>
    <row r="35" spans="1:24" ht="16.5" customHeight="1" thickTop="1" thickBot="1" x14ac:dyDescent="0.55000000000000004">
      <c r="A35" s="185"/>
      <c r="B35" s="186"/>
      <c r="C35" s="187"/>
      <c r="D35" s="264"/>
      <c r="E35" s="264"/>
      <c r="F35" s="263"/>
      <c r="G35" s="264"/>
      <c r="H35" s="267"/>
      <c r="I35" s="262"/>
      <c r="J35" s="246"/>
      <c r="K35" s="246"/>
      <c r="L35" s="246"/>
      <c r="M35" s="248"/>
      <c r="N35" s="246"/>
      <c r="O35" s="248"/>
      <c r="P35" s="246"/>
      <c r="Q35" s="248"/>
      <c r="R35" s="246"/>
      <c r="S35" s="248"/>
      <c r="T35" s="246"/>
      <c r="U35" s="248"/>
      <c r="V35" s="247"/>
      <c r="W35" s="252"/>
      <c r="X35" s="247"/>
    </row>
    <row r="36" spans="1:24" ht="32.700000000000003" customHeight="1" thickBot="1" x14ac:dyDescent="0.55000000000000004">
      <c r="A36" s="185"/>
      <c r="B36" s="191"/>
      <c r="C36" s="191"/>
      <c r="D36" s="109">
        <f>D34+1</f>
        <v>45</v>
      </c>
      <c r="E36" s="109" t="str">
        <f>HLOOKUP(MOD(D36,12),note_names,2,TRUE) &amp; (INT(D36/12)-1)</f>
        <v>A2</v>
      </c>
      <c r="F36" s="124" t="s">
        <v>260</v>
      </c>
      <c r="G36" s="109"/>
      <c r="H36" s="121" t="s">
        <v>148</v>
      </c>
      <c r="I36" s="183"/>
      <c r="J36" s="149"/>
      <c r="K36" s="149"/>
      <c r="L36" s="149"/>
      <c r="M36" s="184"/>
      <c r="N36" s="149"/>
      <c r="O36" s="184"/>
      <c r="P36" s="149"/>
      <c r="Q36" s="184"/>
      <c r="R36" s="149"/>
      <c r="S36" s="184"/>
      <c r="T36" s="149"/>
      <c r="U36" s="184"/>
      <c r="V36" s="150"/>
      <c r="W36" s="163"/>
      <c r="X36" s="150"/>
    </row>
    <row r="37" spans="1:24" ht="8.5" customHeight="1" thickBot="1" x14ac:dyDescent="0.55000000000000004">
      <c r="A37" s="180"/>
      <c r="B37" s="181"/>
      <c r="C37" s="182"/>
      <c r="D37" s="264">
        <f>D36+1</f>
        <v>46</v>
      </c>
      <c r="E37" s="264" t="str">
        <f>HLOOKUP(MOD(D37,12),note_names,2,TRUE) &amp; (INT(D37/12)-1)</f>
        <v>A#/Bb2</v>
      </c>
      <c r="F37" s="263" t="s">
        <v>261</v>
      </c>
      <c r="G37" s="264"/>
      <c r="H37" s="267" t="s">
        <v>149</v>
      </c>
      <c r="I37" s="262"/>
      <c r="J37" s="246"/>
      <c r="K37" s="246"/>
      <c r="L37" s="246"/>
      <c r="M37" s="248"/>
      <c r="N37" s="246"/>
      <c r="O37" s="248"/>
      <c r="P37" s="246"/>
      <c r="Q37" s="248"/>
      <c r="R37" s="246"/>
      <c r="S37" s="248"/>
      <c r="T37" s="246"/>
      <c r="U37" s="248"/>
      <c r="V37" s="247"/>
      <c r="W37" s="252"/>
      <c r="X37" s="247"/>
    </row>
    <row r="38" spans="1:24" ht="24.5" customHeight="1" thickTop="1" thickBot="1" x14ac:dyDescent="0.55000000000000004">
      <c r="A38" s="185"/>
      <c r="B38" s="186"/>
      <c r="C38" s="187"/>
      <c r="D38" s="264"/>
      <c r="E38" s="264"/>
      <c r="F38" s="263"/>
      <c r="G38" s="264"/>
      <c r="H38" s="267"/>
      <c r="I38" s="262"/>
      <c r="J38" s="246"/>
      <c r="K38" s="246"/>
      <c r="L38" s="246"/>
      <c r="M38" s="248"/>
      <c r="N38" s="246"/>
      <c r="O38" s="248"/>
      <c r="P38" s="246"/>
      <c r="Q38" s="248"/>
      <c r="R38" s="246"/>
      <c r="S38" s="248"/>
      <c r="T38" s="246"/>
      <c r="U38" s="248"/>
      <c r="V38" s="247"/>
      <c r="W38" s="252"/>
      <c r="X38" s="247"/>
    </row>
    <row r="39" spans="1:24" ht="32.700000000000003" customHeight="1" thickBot="1" x14ac:dyDescent="0.55000000000000004">
      <c r="A39" s="180"/>
      <c r="B39" s="188"/>
      <c r="C39" s="188"/>
      <c r="D39" s="111">
        <f>+D37+1</f>
        <v>47</v>
      </c>
      <c r="E39" s="111" t="str">
        <f>HLOOKUP(MOD(D39,12),note_names,2,TRUE) &amp; (INT(D39/12)-1)</f>
        <v>B2</v>
      </c>
      <c r="F39" s="124" t="s">
        <v>262</v>
      </c>
      <c r="G39" s="111"/>
      <c r="H39" s="129" t="s">
        <v>150</v>
      </c>
      <c r="I39" s="189"/>
      <c r="J39" s="151"/>
      <c r="K39" s="151"/>
      <c r="L39" s="151"/>
      <c r="M39" s="190"/>
      <c r="N39" s="151"/>
      <c r="O39" s="190"/>
      <c r="P39" s="151"/>
      <c r="Q39" s="190"/>
      <c r="R39" s="151"/>
      <c r="S39" s="190"/>
      <c r="T39" s="151"/>
      <c r="U39" s="190"/>
      <c r="V39" s="152"/>
      <c r="W39" s="164"/>
      <c r="X39" s="152"/>
    </row>
    <row r="40" spans="1:24" ht="32.700000000000003" customHeight="1" thickTop="1" thickBot="1" x14ac:dyDescent="0.55000000000000004">
      <c r="A40" s="185"/>
      <c r="B40" s="191"/>
      <c r="C40" s="191"/>
      <c r="D40" s="112">
        <f>D39+1</f>
        <v>48</v>
      </c>
      <c r="E40" s="112" t="str">
        <f>HLOOKUP(MOD(D40,12),note_names,2,TRUE) &amp; (INT(D40/12)-1)</f>
        <v>C3</v>
      </c>
      <c r="F40" s="116"/>
      <c r="G40" s="112"/>
      <c r="H40" s="130" t="s">
        <v>151</v>
      </c>
      <c r="I40" s="192"/>
      <c r="J40" s="153"/>
      <c r="K40" s="153"/>
      <c r="L40" s="153"/>
      <c r="M40" s="193"/>
      <c r="N40" s="153"/>
      <c r="O40" s="193"/>
      <c r="P40" s="153"/>
      <c r="Q40" s="193"/>
      <c r="R40" s="153"/>
      <c r="S40" s="193"/>
      <c r="T40" s="153"/>
      <c r="U40" s="193"/>
      <c r="V40" s="154"/>
      <c r="W40" s="165"/>
      <c r="X40" s="154"/>
    </row>
    <row r="41" spans="1:24" ht="21.7" customHeight="1" thickBot="1" x14ac:dyDescent="0.55000000000000004">
      <c r="A41" s="180"/>
      <c r="B41" s="181"/>
      <c r="C41" s="182"/>
      <c r="D41" s="264">
        <f>D40+1</f>
        <v>49</v>
      </c>
      <c r="E41" s="264" t="str">
        <f>HLOOKUP(MOD(D41,12),note_names,2,TRUE) &amp; (INT(D41/12)-1)</f>
        <v>C#/Db3</v>
      </c>
      <c r="F41" s="273"/>
      <c r="G41" s="264"/>
      <c r="H41" s="267" t="s">
        <v>152</v>
      </c>
      <c r="I41" s="262"/>
      <c r="J41" s="246"/>
      <c r="K41" s="246"/>
      <c r="L41" s="246"/>
      <c r="M41" s="248"/>
      <c r="N41" s="246"/>
      <c r="O41" s="248"/>
      <c r="P41" s="246"/>
      <c r="Q41" s="248"/>
      <c r="R41" s="246"/>
      <c r="S41" s="248"/>
      <c r="T41" s="246"/>
      <c r="U41" s="248"/>
      <c r="V41" s="247"/>
      <c r="W41" s="252"/>
      <c r="X41" s="247"/>
    </row>
    <row r="42" spans="1:24" ht="11" customHeight="1" thickTop="1" thickBot="1" x14ac:dyDescent="0.55000000000000004">
      <c r="A42" s="185"/>
      <c r="B42" s="186"/>
      <c r="C42" s="187"/>
      <c r="D42" s="264"/>
      <c r="E42" s="264"/>
      <c r="F42" s="273"/>
      <c r="G42" s="264"/>
      <c r="H42" s="267"/>
      <c r="I42" s="262"/>
      <c r="J42" s="246"/>
      <c r="K42" s="246"/>
      <c r="L42" s="246"/>
      <c r="M42" s="248"/>
      <c r="N42" s="246"/>
      <c r="O42" s="248"/>
      <c r="P42" s="246"/>
      <c r="Q42" s="248"/>
      <c r="R42" s="246"/>
      <c r="S42" s="248"/>
      <c r="T42" s="246"/>
      <c r="U42" s="248"/>
      <c r="V42" s="247"/>
      <c r="W42" s="252"/>
      <c r="X42" s="247"/>
    </row>
    <row r="43" spans="1:24" ht="32.700000000000003" customHeight="1" thickBot="1" x14ac:dyDescent="0.55000000000000004">
      <c r="A43" s="185"/>
      <c r="B43" s="191"/>
      <c r="C43" s="191"/>
      <c r="D43" s="109">
        <f>D41+1</f>
        <v>50</v>
      </c>
      <c r="E43" s="109" t="str">
        <f>HLOOKUP(MOD(D43,12),note_names,2,TRUE) &amp; (INT(D43/12)-1)</f>
        <v>D3</v>
      </c>
      <c r="F43" s="117"/>
      <c r="G43" s="109"/>
      <c r="H43" s="121" t="s">
        <v>153</v>
      </c>
      <c r="I43" s="183"/>
      <c r="J43" s="149"/>
      <c r="K43" s="149"/>
      <c r="L43" s="149"/>
      <c r="M43" s="184"/>
      <c r="N43" s="149"/>
      <c r="O43" s="184"/>
      <c r="P43" s="149"/>
      <c r="Q43" s="184"/>
      <c r="R43" s="149"/>
      <c r="S43" s="184"/>
      <c r="T43" s="149"/>
      <c r="U43" s="184"/>
      <c r="V43" s="150"/>
      <c r="W43" s="163"/>
      <c r="X43" s="150"/>
    </row>
    <row r="44" spans="1:24" ht="11" customHeight="1" thickBot="1" x14ac:dyDescent="0.55000000000000004">
      <c r="A44" s="194"/>
      <c r="B44" s="181"/>
      <c r="C44" s="182"/>
      <c r="D44" s="264">
        <f>D43+1</f>
        <v>51</v>
      </c>
      <c r="E44" s="264" t="str">
        <f>HLOOKUP(MOD(D44,12),note_names,2,TRUE) &amp; (INT(D44/12)-1)</f>
        <v>D#/Eb3</v>
      </c>
      <c r="F44" s="273"/>
      <c r="G44" s="264"/>
      <c r="H44" s="267" t="s">
        <v>154</v>
      </c>
      <c r="I44" s="262"/>
      <c r="J44" s="246"/>
      <c r="K44" s="246"/>
      <c r="L44" s="246"/>
      <c r="M44" s="248"/>
      <c r="N44" s="246"/>
      <c r="O44" s="248"/>
      <c r="P44" s="246"/>
      <c r="Q44" s="248"/>
      <c r="R44" s="246"/>
      <c r="S44" s="248"/>
      <c r="T44" s="246"/>
      <c r="U44" s="248"/>
      <c r="V44" s="247"/>
      <c r="W44" s="252"/>
      <c r="X44" s="247"/>
    </row>
    <row r="45" spans="1:24" ht="21.7" customHeight="1" thickTop="1" thickBot="1" x14ac:dyDescent="0.55000000000000004">
      <c r="A45" s="185"/>
      <c r="B45" s="186"/>
      <c r="C45" s="187"/>
      <c r="D45" s="264"/>
      <c r="E45" s="264"/>
      <c r="F45" s="273"/>
      <c r="G45" s="264"/>
      <c r="H45" s="267"/>
      <c r="I45" s="262"/>
      <c r="J45" s="246"/>
      <c r="K45" s="246"/>
      <c r="L45" s="246"/>
      <c r="M45" s="248"/>
      <c r="N45" s="246"/>
      <c r="O45" s="248"/>
      <c r="P45" s="246"/>
      <c r="Q45" s="248"/>
      <c r="R45" s="246"/>
      <c r="S45" s="248"/>
      <c r="T45" s="246"/>
      <c r="U45" s="248"/>
      <c r="V45" s="247"/>
      <c r="W45" s="252"/>
      <c r="X45" s="247"/>
    </row>
    <row r="46" spans="1:24" ht="32.700000000000003" customHeight="1" thickBot="1" x14ac:dyDescent="0.55000000000000004">
      <c r="A46" s="180"/>
      <c r="B46" s="188"/>
      <c r="C46" s="188"/>
      <c r="D46" s="109">
        <f>D44+1</f>
        <v>52</v>
      </c>
      <c r="E46" s="109" t="str">
        <f>HLOOKUP(MOD(D46,12),note_names,2,TRUE) &amp; (INT(D46/12)-1)</f>
        <v>E3</v>
      </c>
      <c r="F46" s="117" t="s">
        <v>244</v>
      </c>
      <c r="G46" s="109"/>
      <c r="H46" s="121" t="s">
        <v>155</v>
      </c>
      <c r="I46" s="183"/>
      <c r="J46" s="149"/>
      <c r="K46" s="149"/>
      <c r="L46" s="149"/>
      <c r="M46" s="184"/>
      <c r="N46" s="149"/>
      <c r="O46" s="184"/>
      <c r="P46" s="149"/>
      <c r="Q46" s="184"/>
      <c r="R46" s="149"/>
      <c r="S46" s="184"/>
      <c r="T46" s="149"/>
      <c r="U46" s="184"/>
      <c r="V46" s="150"/>
      <c r="W46" s="163"/>
      <c r="X46" s="150"/>
    </row>
    <row r="47" spans="1:24" ht="32.700000000000003" customHeight="1" thickTop="1" thickBot="1" x14ac:dyDescent="0.55000000000000004">
      <c r="A47" s="185"/>
      <c r="B47" s="191"/>
      <c r="C47" s="191"/>
      <c r="D47" s="109">
        <f>D46+1</f>
        <v>53</v>
      </c>
      <c r="E47" s="109" t="str">
        <f>HLOOKUP(MOD(D47,12),note_names,2,TRUE) &amp; (INT(D47/12)-1)</f>
        <v>F3</v>
      </c>
      <c r="F47" s="117" t="s">
        <v>272</v>
      </c>
      <c r="G47" s="109"/>
      <c r="H47" s="121" t="s">
        <v>156</v>
      </c>
      <c r="I47" s="183"/>
      <c r="J47" s="149"/>
      <c r="K47" s="149"/>
      <c r="L47" s="149"/>
      <c r="M47" s="184"/>
      <c r="N47" s="149"/>
      <c r="O47" s="184"/>
      <c r="P47" s="149"/>
      <c r="Q47" s="184"/>
      <c r="R47" s="149"/>
      <c r="S47" s="184"/>
      <c r="T47" s="149"/>
      <c r="U47" s="184"/>
      <c r="V47" s="150"/>
      <c r="W47" s="163"/>
      <c r="X47" s="150"/>
    </row>
    <row r="48" spans="1:24" ht="24.5" customHeight="1" thickBot="1" x14ac:dyDescent="0.55000000000000004">
      <c r="A48" s="180"/>
      <c r="B48" s="181"/>
      <c r="C48" s="182"/>
      <c r="D48" s="264">
        <f>D47+1</f>
        <v>54</v>
      </c>
      <c r="E48" s="264" t="str">
        <f>HLOOKUP(MOD(D48,12),note_names,2,TRUE) &amp; (INT(D48/12)-1)</f>
        <v>F#/Gb3</v>
      </c>
      <c r="F48" s="273"/>
      <c r="G48" s="264"/>
      <c r="H48" s="267" t="s">
        <v>157</v>
      </c>
      <c r="I48" s="262"/>
      <c r="J48" s="246"/>
      <c r="K48" s="246"/>
      <c r="L48" s="246"/>
      <c r="M48" s="248"/>
      <c r="N48" s="246"/>
      <c r="O48" s="248"/>
      <c r="P48" s="246"/>
      <c r="Q48" s="248"/>
      <c r="R48" s="246"/>
      <c r="S48" s="248"/>
      <c r="T48" s="246"/>
      <c r="U48" s="248"/>
      <c r="V48" s="247"/>
      <c r="W48" s="252"/>
      <c r="X48" s="247"/>
    </row>
    <row r="49" spans="1:24" ht="8.5" customHeight="1" thickTop="1" thickBot="1" x14ac:dyDescent="0.55000000000000004">
      <c r="A49" s="185"/>
      <c r="B49" s="186"/>
      <c r="C49" s="187"/>
      <c r="D49" s="264"/>
      <c r="E49" s="264"/>
      <c r="F49" s="273"/>
      <c r="G49" s="264"/>
      <c r="H49" s="267"/>
      <c r="I49" s="262"/>
      <c r="J49" s="246"/>
      <c r="K49" s="246"/>
      <c r="L49" s="246"/>
      <c r="M49" s="248"/>
      <c r="N49" s="246"/>
      <c r="O49" s="248"/>
      <c r="P49" s="246"/>
      <c r="Q49" s="248"/>
      <c r="R49" s="246"/>
      <c r="S49" s="248"/>
      <c r="T49" s="246"/>
      <c r="U49" s="248"/>
      <c r="V49" s="247"/>
      <c r="W49" s="252"/>
      <c r="X49" s="247"/>
    </row>
    <row r="50" spans="1:24" ht="32.700000000000003" customHeight="1" thickBot="1" x14ac:dyDescent="0.55000000000000004">
      <c r="A50" s="185"/>
      <c r="B50" s="191"/>
      <c r="C50" s="191"/>
      <c r="D50" s="109">
        <f>D48+1</f>
        <v>55</v>
      </c>
      <c r="E50" s="109" t="str">
        <f>HLOOKUP(MOD(D50,12),note_names,2,TRUE) &amp; (INT(D50/12)-1)</f>
        <v>G3</v>
      </c>
      <c r="F50" s="117"/>
      <c r="G50" s="109"/>
      <c r="H50" s="121" t="s">
        <v>158</v>
      </c>
      <c r="I50" s="183"/>
      <c r="J50" s="149"/>
      <c r="K50" s="149"/>
      <c r="L50" s="149"/>
      <c r="M50" s="184"/>
      <c r="N50" s="149"/>
      <c r="O50" s="184"/>
      <c r="P50" s="149"/>
      <c r="Q50" s="184"/>
      <c r="R50" s="149"/>
      <c r="S50" s="184"/>
      <c r="T50" s="149"/>
      <c r="U50" s="184"/>
      <c r="V50" s="150"/>
      <c r="W50" s="163"/>
      <c r="X50" s="150"/>
    </row>
    <row r="51" spans="1:24" ht="16.5" customHeight="1" thickBot="1" x14ac:dyDescent="0.55000000000000004">
      <c r="A51" s="180"/>
      <c r="B51" s="181"/>
      <c r="C51" s="182"/>
      <c r="D51" s="264">
        <f>D50+1</f>
        <v>56</v>
      </c>
      <c r="E51" s="264" t="str">
        <f>HLOOKUP(MOD(D51,12),note_names,2,TRUE) &amp; (INT(D51/12)-1)</f>
        <v>G#/Ab3</v>
      </c>
      <c r="F51" s="273"/>
      <c r="G51" s="264"/>
      <c r="H51" s="267" t="s">
        <v>159</v>
      </c>
      <c r="I51" s="262"/>
      <c r="J51" s="246"/>
      <c r="K51" s="246"/>
      <c r="L51" s="246"/>
      <c r="M51" s="248"/>
      <c r="N51" s="246"/>
      <c r="O51" s="248"/>
      <c r="P51" s="246"/>
      <c r="Q51" s="248"/>
      <c r="R51" s="246"/>
      <c r="S51" s="248"/>
      <c r="T51" s="246"/>
      <c r="U51" s="248"/>
      <c r="V51" s="247"/>
      <c r="W51" s="252"/>
      <c r="X51" s="247"/>
    </row>
    <row r="52" spans="1:24" ht="16.5" customHeight="1" thickTop="1" thickBot="1" x14ac:dyDescent="0.55000000000000004">
      <c r="A52" s="185"/>
      <c r="B52" s="186"/>
      <c r="C52" s="187"/>
      <c r="D52" s="264"/>
      <c r="E52" s="264"/>
      <c r="F52" s="273"/>
      <c r="G52" s="264"/>
      <c r="H52" s="267"/>
      <c r="I52" s="262"/>
      <c r="J52" s="246"/>
      <c r="K52" s="246"/>
      <c r="L52" s="246"/>
      <c r="M52" s="248"/>
      <c r="N52" s="246"/>
      <c r="O52" s="248"/>
      <c r="P52" s="246"/>
      <c r="Q52" s="248"/>
      <c r="R52" s="246"/>
      <c r="S52" s="248"/>
      <c r="T52" s="246"/>
      <c r="U52" s="248"/>
      <c r="V52" s="247"/>
      <c r="W52" s="252"/>
      <c r="X52" s="247"/>
    </row>
    <row r="53" spans="1:24" ht="32.700000000000003" customHeight="1" thickBot="1" x14ac:dyDescent="0.55000000000000004">
      <c r="A53" s="185"/>
      <c r="B53" s="191"/>
      <c r="C53" s="191"/>
      <c r="D53" s="109">
        <f>D51+1</f>
        <v>57</v>
      </c>
      <c r="E53" s="109" t="str">
        <f>HLOOKUP(MOD(D53,12),note_names,2,TRUE) &amp; (INT(D53/12)-1)</f>
        <v>A3</v>
      </c>
      <c r="F53" s="117"/>
      <c r="G53" s="109"/>
      <c r="H53" s="121" t="s">
        <v>160</v>
      </c>
      <c r="I53" s="183"/>
      <c r="J53" s="149"/>
      <c r="K53" s="149"/>
      <c r="L53" s="149"/>
      <c r="M53" s="184"/>
      <c r="N53" s="149"/>
      <c r="O53" s="184"/>
      <c r="P53" s="149"/>
      <c r="Q53" s="184"/>
      <c r="R53" s="149"/>
      <c r="S53" s="184"/>
      <c r="T53" s="149"/>
      <c r="U53" s="184"/>
      <c r="V53" s="150"/>
      <c r="W53" s="163"/>
      <c r="X53" s="150"/>
    </row>
    <row r="54" spans="1:24" ht="8.5" customHeight="1" thickBot="1" x14ac:dyDescent="0.55000000000000004">
      <c r="A54" s="180"/>
      <c r="B54" s="181"/>
      <c r="C54" s="182"/>
      <c r="D54" s="264">
        <f>D53+1</f>
        <v>58</v>
      </c>
      <c r="E54" s="264" t="str">
        <f>HLOOKUP(MOD(D54,12),note_names,2,TRUE) &amp; (INT(D54/12)-1)</f>
        <v>A#/Bb3</v>
      </c>
      <c r="F54" s="273"/>
      <c r="G54" s="264"/>
      <c r="H54" s="267" t="s">
        <v>161</v>
      </c>
      <c r="I54" s="262"/>
      <c r="J54" s="246"/>
      <c r="K54" s="246"/>
      <c r="L54" s="246"/>
      <c r="M54" s="248"/>
      <c r="N54" s="246"/>
      <c r="O54" s="248"/>
      <c r="P54" s="246"/>
      <c r="Q54" s="248"/>
      <c r="R54" s="246"/>
      <c r="S54" s="248"/>
      <c r="T54" s="246"/>
      <c r="U54" s="248"/>
      <c r="V54" s="247"/>
      <c r="W54" s="252"/>
      <c r="X54" s="247"/>
    </row>
    <row r="55" spans="1:24" ht="24.5" customHeight="1" thickTop="1" thickBot="1" x14ac:dyDescent="0.55000000000000004">
      <c r="A55" s="185"/>
      <c r="B55" s="186"/>
      <c r="C55" s="187"/>
      <c r="D55" s="264"/>
      <c r="E55" s="264"/>
      <c r="F55" s="273"/>
      <c r="G55" s="264"/>
      <c r="H55" s="267"/>
      <c r="I55" s="262"/>
      <c r="J55" s="246"/>
      <c r="K55" s="246"/>
      <c r="L55" s="246"/>
      <c r="M55" s="248"/>
      <c r="N55" s="246"/>
      <c r="O55" s="248"/>
      <c r="P55" s="246"/>
      <c r="Q55" s="248"/>
      <c r="R55" s="246"/>
      <c r="S55" s="248"/>
      <c r="T55" s="246"/>
      <c r="U55" s="248"/>
      <c r="V55" s="247"/>
      <c r="W55" s="252"/>
      <c r="X55" s="247"/>
    </row>
    <row r="56" spans="1:24" ht="32.700000000000003" customHeight="1" thickBot="1" x14ac:dyDescent="0.55000000000000004">
      <c r="A56" s="180"/>
      <c r="B56" s="188"/>
      <c r="C56" s="188"/>
      <c r="D56" s="111">
        <f>+D54+1</f>
        <v>59</v>
      </c>
      <c r="E56" s="111" t="str">
        <f>HLOOKUP(MOD(D56,12),note_names,2,TRUE) &amp; (INT(D56/12)-1)</f>
        <v>B3</v>
      </c>
      <c r="F56" s="118"/>
      <c r="G56" s="111"/>
      <c r="H56" s="129" t="s">
        <v>162</v>
      </c>
      <c r="I56" s="189"/>
      <c r="J56" s="151"/>
      <c r="K56" s="151"/>
      <c r="L56" s="151"/>
      <c r="M56" s="190"/>
      <c r="N56" s="151"/>
      <c r="O56" s="190"/>
      <c r="P56" s="151"/>
      <c r="Q56" s="190"/>
      <c r="R56" s="151"/>
      <c r="S56" s="190"/>
      <c r="T56" s="151"/>
      <c r="U56" s="190"/>
      <c r="V56" s="152"/>
      <c r="W56" s="164"/>
      <c r="X56" s="152"/>
    </row>
    <row r="57" spans="1:24" ht="32.700000000000003" customHeight="1" thickTop="1" thickBot="1" x14ac:dyDescent="0.55000000000000004">
      <c r="A57" s="195"/>
      <c r="B57" s="196"/>
      <c r="C57" s="196"/>
      <c r="D57" s="112">
        <f>D56+1</f>
        <v>60</v>
      </c>
      <c r="E57" s="112" t="str">
        <f>HLOOKUP(MOD(D57,12),note_names,2,TRUE) &amp; (INT(D57/12)-1)</f>
        <v>C4</v>
      </c>
      <c r="F57" s="119"/>
      <c r="G57" s="112"/>
      <c r="H57" s="130" t="s">
        <v>163</v>
      </c>
      <c r="I57" s="192"/>
      <c r="J57" s="153"/>
      <c r="K57" s="153"/>
      <c r="L57" s="153"/>
      <c r="M57" s="193"/>
      <c r="N57" s="153"/>
      <c r="O57" s="193"/>
      <c r="P57" s="153"/>
      <c r="Q57" s="193"/>
      <c r="R57" s="153"/>
      <c r="S57" s="193"/>
      <c r="T57" s="153"/>
      <c r="U57" s="193"/>
      <c r="V57" s="154"/>
      <c r="W57" s="165"/>
      <c r="X57" s="154"/>
    </row>
    <row r="58" spans="1:24" ht="21.7" customHeight="1" thickBot="1" x14ac:dyDescent="0.55000000000000004">
      <c r="A58" s="197"/>
      <c r="B58" s="181"/>
      <c r="C58" s="182"/>
      <c r="D58" s="264">
        <f>D57+1</f>
        <v>61</v>
      </c>
      <c r="E58" s="264" t="str">
        <f>HLOOKUP(MOD(D58,12),note_names,2,TRUE) &amp; (INT(D58/12)-1)</f>
        <v>C#/Db4</v>
      </c>
      <c r="F58" s="274"/>
      <c r="G58" s="264"/>
      <c r="H58" s="267" t="s">
        <v>164</v>
      </c>
      <c r="I58" s="262"/>
      <c r="J58" s="246"/>
      <c r="K58" s="246"/>
      <c r="L58" s="246"/>
      <c r="M58" s="248"/>
      <c r="N58" s="246"/>
      <c r="O58" s="248"/>
      <c r="P58" s="246"/>
      <c r="Q58" s="248"/>
      <c r="R58" s="246"/>
      <c r="S58" s="248"/>
      <c r="T58" s="246"/>
      <c r="U58" s="248"/>
      <c r="V58" s="247"/>
      <c r="W58" s="252"/>
      <c r="X58" s="247"/>
    </row>
    <row r="59" spans="1:24" ht="11" customHeight="1" thickTop="1" thickBot="1" x14ac:dyDescent="0.55000000000000004">
      <c r="A59" s="195"/>
      <c r="B59" s="186"/>
      <c r="C59" s="187"/>
      <c r="D59" s="264"/>
      <c r="E59" s="264"/>
      <c r="F59" s="274"/>
      <c r="G59" s="264"/>
      <c r="H59" s="267"/>
      <c r="I59" s="262"/>
      <c r="J59" s="246"/>
      <c r="K59" s="246"/>
      <c r="L59" s="246"/>
      <c r="M59" s="248"/>
      <c r="N59" s="246"/>
      <c r="O59" s="248"/>
      <c r="P59" s="246"/>
      <c r="Q59" s="248"/>
      <c r="R59" s="246"/>
      <c r="S59" s="248"/>
      <c r="T59" s="246"/>
      <c r="U59" s="248"/>
      <c r="V59" s="247"/>
      <c r="W59" s="252"/>
      <c r="X59" s="247"/>
    </row>
    <row r="60" spans="1:24" ht="32.700000000000003" customHeight="1" thickBot="1" x14ac:dyDescent="0.55000000000000004">
      <c r="A60" s="195"/>
      <c r="B60" s="196"/>
      <c r="C60" s="196"/>
      <c r="D60" s="109">
        <f>D58+1</f>
        <v>62</v>
      </c>
      <c r="E60" s="109" t="str">
        <f>HLOOKUP(MOD(D60,12),note_names,2,TRUE) &amp; (INT(D60/12)-1)</f>
        <v>D4</v>
      </c>
      <c r="F60" s="115"/>
      <c r="G60" s="109"/>
      <c r="H60" s="121" t="s">
        <v>165</v>
      </c>
      <c r="I60" s="183"/>
      <c r="J60" s="149"/>
      <c r="K60" s="149"/>
      <c r="L60" s="149"/>
      <c r="M60" s="184"/>
      <c r="N60" s="149"/>
      <c r="O60" s="184"/>
      <c r="P60" s="149"/>
      <c r="Q60" s="184"/>
      <c r="R60" s="149"/>
      <c r="S60" s="184"/>
      <c r="T60" s="149"/>
      <c r="U60" s="184"/>
      <c r="V60" s="150"/>
      <c r="W60" s="163"/>
      <c r="X60" s="150"/>
    </row>
    <row r="61" spans="1:24" ht="11" customHeight="1" thickBot="1" x14ac:dyDescent="0.55000000000000004">
      <c r="A61" s="198"/>
      <c r="B61" s="181"/>
      <c r="C61" s="182"/>
      <c r="D61" s="264">
        <f>D60+1</f>
        <v>63</v>
      </c>
      <c r="E61" s="264" t="str">
        <f>HLOOKUP(MOD(D61,12),note_names,2,TRUE) &amp; (INT(D61/12)-1)</f>
        <v>D#/Eb4</v>
      </c>
      <c r="F61" s="274"/>
      <c r="G61" s="264"/>
      <c r="H61" s="267" t="s">
        <v>166</v>
      </c>
      <c r="I61" s="262"/>
      <c r="J61" s="246"/>
      <c r="K61" s="246"/>
      <c r="L61" s="246"/>
      <c r="M61" s="248"/>
      <c r="N61" s="246"/>
      <c r="O61" s="248"/>
      <c r="P61" s="246"/>
      <c r="Q61" s="248"/>
      <c r="R61" s="246"/>
      <c r="S61" s="248"/>
      <c r="T61" s="246"/>
      <c r="U61" s="248"/>
      <c r="V61" s="247"/>
      <c r="W61" s="252"/>
      <c r="X61" s="247"/>
    </row>
    <row r="62" spans="1:24" ht="21.7" customHeight="1" thickTop="1" thickBot="1" x14ac:dyDescent="0.55000000000000004">
      <c r="A62" s="195"/>
      <c r="B62" s="186"/>
      <c r="C62" s="187"/>
      <c r="D62" s="264"/>
      <c r="E62" s="264"/>
      <c r="F62" s="274"/>
      <c r="G62" s="264"/>
      <c r="H62" s="267"/>
      <c r="I62" s="262"/>
      <c r="J62" s="246"/>
      <c r="K62" s="246"/>
      <c r="L62" s="246"/>
      <c r="M62" s="248"/>
      <c r="N62" s="246"/>
      <c r="O62" s="248"/>
      <c r="P62" s="246"/>
      <c r="Q62" s="248"/>
      <c r="R62" s="246"/>
      <c r="S62" s="248"/>
      <c r="T62" s="246"/>
      <c r="U62" s="248"/>
      <c r="V62" s="247"/>
      <c r="W62" s="252"/>
      <c r="X62" s="247"/>
    </row>
    <row r="63" spans="1:24" ht="32.700000000000003" customHeight="1" thickBot="1" x14ac:dyDescent="0.55000000000000004">
      <c r="A63" s="197"/>
      <c r="B63" s="199"/>
      <c r="C63" s="199"/>
      <c r="D63" s="109">
        <f>D61+1</f>
        <v>64</v>
      </c>
      <c r="E63" s="109" t="str">
        <f>HLOOKUP(MOD(D63,12),note_names,2,TRUE) &amp; (INT(D63/12)-1)</f>
        <v>E4</v>
      </c>
      <c r="F63" s="115" t="s">
        <v>245</v>
      </c>
      <c r="G63" s="109"/>
      <c r="H63" s="121" t="s">
        <v>167</v>
      </c>
      <c r="I63" s="183"/>
      <c r="J63" s="149"/>
      <c r="K63" s="149"/>
      <c r="L63" s="149"/>
      <c r="M63" s="184"/>
      <c r="N63" s="149"/>
      <c r="O63" s="184"/>
      <c r="P63" s="149"/>
      <c r="Q63" s="184"/>
      <c r="R63" s="149"/>
      <c r="S63" s="184"/>
      <c r="T63" s="149"/>
      <c r="U63" s="184"/>
      <c r="V63" s="150"/>
      <c r="W63" s="163"/>
      <c r="X63" s="150"/>
    </row>
    <row r="64" spans="1:24" ht="32.700000000000003" customHeight="1" thickTop="1" thickBot="1" x14ac:dyDescent="0.55000000000000004">
      <c r="A64" s="195"/>
      <c r="B64" s="196"/>
      <c r="C64" s="196"/>
      <c r="D64" s="109">
        <f>D63+1</f>
        <v>65</v>
      </c>
      <c r="E64" s="109" t="str">
        <f>HLOOKUP(MOD(D64,12),note_names,2,TRUE) &amp; (INT(D64/12)-1)</f>
        <v>F4</v>
      </c>
      <c r="F64" s="115" t="s">
        <v>272</v>
      </c>
      <c r="G64" s="109"/>
      <c r="H64" s="121" t="s">
        <v>168</v>
      </c>
      <c r="I64" s="183"/>
      <c r="J64" s="149"/>
      <c r="K64" s="149"/>
      <c r="L64" s="149"/>
      <c r="M64" s="184"/>
      <c r="N64" s="149"/>
      <c r="O64" s="184"/>
      <c r="P64" s="149"/>
      <c r="Q64" s="184"/>
      <c r="R64" s="149"/>
      <c r="S64" s="184"/>
      <c r="T64" s="149"/>
      <c r="U64" s="184"/>
      <c r="V64" s="150"/>
      <c r="W64" s="163"/>
      <c r="X64" s="150"/>
    </row>
    <row r="65" spans="1:24" ht="24.5" customHeight="1" thickBot="1" x14ac:dyDescent="0.55000000000000004">
      <c r="A65" s="197"/>
      <c r="B65" s="181"/>
      <c r="C65" s="182"/>
      <c r="D65" s="264">
        <f>D64+1</f>
        <v>66</v>
      </c>
      <c r="E65" s="264" t="str">
        <f>HLOOKUP(MOD(D65,12),note_names,2,TRUE) &amp; (INT(D65/12)-1)</f>
        <v>F#/Gb4</v>
      </c>
      <c r="F65" s="274"/>
      <c r="G65" s="264"/>
      <c r="H65" s="267" t="s">
        <v>169</v>
      </c>
      <c r="I65" s="262"/>
      <c r="J65" s="246"/>
      <c r="K65" s="246"/>
      <c r="L65" s="246"/>
      <c r="M65" s="248"/>
      <c r="N65" s="246"/>
      <c r="O65" s="248"/>
      <c r="P65" s="246"/>
      <c r="Q65" s="248"/>
      <c r="R65" s="246"/>
      <c r="S65" s="248"/>
      <c r="T65" s="246"/>
      <c r="U65" s="248"/>
      <c r="V65" s="247"/>
      <c r="W65" s="252"/>
      <c r="X65" s="247"/>
    </row>
    <row r="66" spans="1:24" ht="8.5" customHeight="1" thickTop="1" thickBot="1" x14ac:dyDescent="0.55000000000000004">
      <c r="A66" s="195"/>
      <c r="B66" s="186"/>
      <c r="C66" s="187"/>
      <c r="D66" s="264"/>
      <c r="E66" s="264"/>
      <c r="F66" s="274"/>
      <c r="G66" s="264"/>
      <c r="H66" s="267"/>
      <c r="I66" s="262"/>
      <c r="J66" s="246"/>
      <c r="K66" s="246"/>
      <c r="L66" s="246"/>
      <c r="M66" s="248"/>
      <c r="N66" s="246"/>
      <c r="O66" s="248"/>
      <c r="P66" s="246"/>
      <c r="Q66" s="248"/>
      <c r="R66" s="246"/>
      <c r="S66" s="248"/>
      <c r="T66" s="246"/>
      <c r="U66" s="248"/>
      <c r="V66" s="247"/>
      <c r="W66" s="252"/>
      <c r="X66" s="247"/>
    </row>
    <row r="67" spans="1:24" ht="32.700000000000003" customHeight="1" thickBot="1" x14ac:dyDescent="0.55000000000000004">
      <c r="A67" s="195"/>
      <c r="B67" s="196"/>
      <c r="C67" s="196"/>
      <c r="D67" s="109">
        <f>D65+1</f>
        <v>67</v>
      </c>
      <c r="E67" s="109" t="str">
        <f>HLOOKUP(MOD(D67,12),note_names,2,TRUE) &amp; (INT(D67/12)-1)</f>
        <v>G4</v>
      </c>
      <c r="F67" s="115"/>
      <c r="G67" s="109"/>
      <c r="H67" s="121" t="s">
        <v>170</v>
      </c>
      <c r="I67" s="183"/>
      <c r="J67" s="149"/>
      <c r="K67" s="149"/>
      <c r="L67" s="149"/>
      <c r="M67" s="184"/>
      <c r="N67" s="149"/>
      <c r="O67" s="184"/>
      <c r="P67" s="149"/>
      <c r="Q67" s="184"/>
      <c r="R67" s="149"/>
      <c r="S67" s="184"/>
      <c r="T67" s="149"/>
      <c r="U67" s="184"/>
      <c r="V67" s="150"/>
      <c r="W67" s="163"/>
      <c r="X67" s="150"/>
    </row>
    <row r="68" spans="1:24" ht="16.5" customHeight="1" thickBot="1" x14ac:dyDescent="0.55000000000000004">
      <c r="A68" s="197"/>
      <c r="B68" s="181"/>
      <c r="C68" s="182"/>
      <c r="D68" s="264">
        <f>D67+1</f>
        <v>68</v>
      </c>
      <c r="E68" s="264" t="str">
        <f>HLOOKUP(MOD(D68,12),note_names,2,TRUE) &amp; (INT(D68/12)-1)</f>
        <v>G#/Ab4</v>
      </c>
      <c r="F68" s="274"/>
      <c r="G68" s="264"/>
      <c r="H68" s="267" t="s">
        <v>171</v>
      </c>
      <c r="I68" s="262"/>
      <c r="J68" s="246"/>
      <c r="K68" s="246"/>
      <c r="L68" s="246"/>
      <c r="M68" s="248"/>
      <c r="N68" s="246"/>
      <c r="O68" s="248"/>
      <c r="P68" s="246"/>
      <c r="Q68" s="248"/>
      <c r="R68" s="246"/>
      <c r="S68" s="248"/>
      <c r="T68" s="246"/>
      <c r="U68" s="248"/>
      <c r="V68" s="247"/>
      <c r="W68" s="252"/>
      <c r="X68" s="247"/>
    </row>
    <row r="69" spans="1:24" ht="16.5" customHeight="1" thickTop="1" thickBot="1" x14ac:dyDescent="0.55000000000000004">
      <c r="A69" s="195"/>
      <c r="B69" s="186"/>
      <c r="C69" s="187"/>
      <c r="D69" s="264"/>
      <c r="E69" s="264"/>
      <c r="F69" s="274"/>
      <c r="G69" s="264"/>
      <c r="H69" s="267"/>
      <c r="I69" s="262"/>
      <c r="J69" s="246"/>
      <c r="K69" s="246"/>
      <c r="L69" s="246"/>
      <c r="M69" s="248"/>
      <c r="N69" s="246"/>
      <c r="O69" s="248"/>
      <c r="P69" s="246"/>
      <c r="Q69" s="248"/>
      <c r="R69" s="246"/>
      <c r="S69" s="248"/>
      <c r="T69" s="246"/>
      <c r="U69" s="248"/>
      <c r="V69" s="247"/>
      <c r="W69" s="252"/>
      <c r="X69" s="247"/>
    </row>
    <row r="70" spans="1:24" ht="32.700000000000003" customHeight="1" thickBot="1" x14ac:dyDescent="0.55000000000000004">
      <c r="A70" s="195"/>
      <c r="B70" s="196"/>
      <c r="C70" s="196"/>
      <c r="D70" s="109">
        <f>D68+1</f>
        <v>69</v>
      </c>
      <c r="E70" s="109" t="str">
        <f>HLOOKUP(MOD(D70,12),note_names,2,TRUE) &amp; (INT(D70/12)-1)</f>
        <v>A4</v>
      </c>
      <c r="F70" s="115"/>
      <c r="G70" s="109"/>
      <c r="H70" s="121" t="s">
        <v>172</v>
      </c>
      <c r="I70" s="183"/>
      <c r="J70" s="149"/>
      <c r="K70" s="149"/>
      <c r="L70" s="149"/>
      <c r="M70" s="184"/>
      <c r="N70" s="149"/>
      <c r="O70" s="184"/>
      <c r="P70" s="149"/>
      <c r="Q70" s="184"/>
      <c r="R70" s="149"/>
      <c r="S70" s="184"/>
      <c r="T70" s="149"/>
      <c r="U70" s="184"/>
      <c r="V70" s="150"/>
      <c r="W70" s="163"/>
      <c r="X70" s="150"/>
    </row>
    <row r="71" spans="1:24" ht="8.5" customHeight="1" thickBot="1" x14ac:dyDescent="0.55000000000000004">
      <c r="A71" s="197"/>
      <c r="B71" s="181"/>
      <c r="C71" s="182"/>
      <c r="D71" s="264">
        <f>D70+1</f>
        <v>70</v>
      </c>
      <c r="E71" s="264" t="str">
        <f>HLOOKUP(MOD(D71,12),note_names,2,TRUE) &amp; (INT(D71/12)-1)</f>
        <v>A#/Bb4</v>
      </c>
      <c r="F71" s="274"/>
      <c r="G71" s="264"/>
      <c r="H71" s="267" t="s">
        <v>173</v>
      </c>
      <c r="I71" s="262"/>
      <c r="J71" s="246"/>
      <c r="K71" s="246"/>
      <c r="L71" s="246"/>
      <c r="M71" s="248"/>
      <c r="N71" s="246"/>
      <c r="O71" s="248"/>
      <c r="P71" s="246"/>
      <c r="Q71" s="248"/>
      <c r="R71" s="246"/>
      <c r="S71" s="248"/>
      <c r="T71" s="246"/>
      <c r="U71" s="248"/>
      <c r="V71" s="247"/>
      <c r="W71" s="252"/>
      <c r="X71" s="247"/>
    </row>
    <row r="72" spans="1:24" ht="24.5" customHeight="1" thickTop="1" thickBot="1" x14ac:dyDescent="0.55000000000000004">
      <c r="A72" s="195"/>
      <c r="B72" s="186"/>
      <c r="C72" s="187"/>
      <c r="D72" s="264"/>
      <c r="E72" s="264"/>
      <c r="F72" s="274"/>
      <c r="G72" s="264"/>
      <c r="H72" s="267"/>
      <c r="I72" s="262"/>
      <c r="J72" s="246"/>
      <c r="K72" s="246"/>
      <c r="L72" s="246"/>
      <c r="M72" s="248"/>
      <c r="N72" s="246"/>
      <c r="O72" s="248"/>
      <c r="P72" s="246"/>
      <c r="Q72" s="248"/>
      <c r="R72" s="246"/>
      <c r="S72" s="248"/>
      <c r="T72" s="246"/>
      <c r="U72" s="248"/>
      <c r="V72" s="247"/>
      <c r="W72" s="252"/>
      <c r="X72" s="247"/>
    </row>
    <row r="73" spans="1:24" ht="32.700000000000003" customHeight="1" thickBot="1" x14ac:dyDescent="0.55000000000000004">
      <c r="A73" s="197"/>
      <c r="B73" s="199"/>
      <c r="C73" s="199"/>
      <c r="D73" s="111">
        <f>+D71+1</f>
        <v>71</v>
      </c>
      <c r="E73" s="111" t="str">
        <f>HLOOKUP(MOD(D73,12),note_names,2,TRUE) &amp; (INT(D73/12)-1)</f>
        <v>B4</v>
      </c>
      <c r="F73" s="120"/>
      <c r="G73" s="111"/>
      <c r="H73" s="129" t="s">
        <v>174</v>
      </c>
      <c r="I73" s="189"/>
      <c r="J73" s="151"/>
      <c r="K73" s="151"/>
      <c r="L73" s="151"/>
      <c r="M73" s="190"/>
      <c r="N73" s="151"/>
      <c r="O73" s="190"/>
      <c r="P73" s="151"/>
      <c r="Q73" s="190"/>
      <c r="R73" s="151"/>
      <c r="S73" s="190"/>
      <c r="T73" s="151"/>
      <c r="U73" s="190"/>
      <c r="V73" s="152"/>
      <c r="W73" s="164"/>
      <c r="X73" s="152"/>
    </row>
    <row r="74" spans="1:24" ht="32.700000000000003" customHeight="1" thickTop="1" thickBot="1" x14ac:dyDescent="0.55000000000000004">
      <c r="A74" s="195"/>
      <c r="B74" s="196"/>
      <c r="C74" s="196"/>
      <c r="D74" s="112">
        <f>D73+1</f>
        <v>72</v>
      </c>
      <c r="E74" s="112" t="str">
        <f>HLOOKUP(MOD(D74,12),note_names,2,TRUE) &amp; (INT(D74/12)-1)</f>
        <v>C5</v>
      </c>
      <c r="F74" s="123" t="s">
        <v>217</v>
      </c>
      <c r="G74" s="112"/>
      <c r="H74" s="130" t="s">
        <v>175</v>
      </c>
      <c r="I74" s="192"/>
      <c r="J74" s="153"/>
      <c r="K74" s="153"/>
      <c r="L74" s="153"/>
      <c r="M74" s="193"/>
      <c r="N74" s="153"/>
      <c r="O74" s="193"/>
      <c r="P74" s="153"/>
      <c r="Q74" s="193"/>
      <c r="R74" s="153"/>
      <c r="S74" s="193"/>
      <c r="T74" s="153"/>
      <c r="U74" s="193"/>
      <c r="V74" s="154"/>
      <c r="W74" s="165"/>
      <c r="X74" s="154"/>
    </row>
    <row r="75" spans="1:24" ht="21.7" customHeight="1" thickBot="1" x14ac:dyDescent="0.55000000000000004">
      <c r="A75" s="197"/>
      <c r="B75" s="181"/>
      <c r="C75" s="182"/>
      <c r="D75" s="264">
        <f>D74+1</f>
        <v>73</v>
      </c>
      <c r="E75" s="264" t="str">
        <f>HLOOKUP(MOD(D75,12),note_names,2,TRUE) &amp; (INT(D75/12)-1)</f>
        <v>C#/Db5</v>
      </c>
      <c r="F75" s="263" t="s">
        <v>218</v>
      </c>
      <c r="G75" s="263"/>
      <c r="H75" s="267" t="s">
        <v>176</v>
      </c>
      <c r="I75" s="256" t="s">
        <v>219</v>
      </c>
      <c r="J75" s="257"/>
      <c r="K75" s="257"/>
      <c r="L75" s="257"/>
      <c r="M75" s="257"/>
      <c r="N75" s="257"/>
      <c r="O75" s="257"/>
      <c r="P75" s="257"/>
      <c r="Q75" s="248"/>
      <c r="R75" s="246"/>
      <c r="S75" s="248"/>
      <c r="T75" s="246"/>
      <c r="U75" s="248"/>
      <c r="V75" s="247"/>
      <c r="W75" s="252"/>
      <c r="X75" s="247"/>
    </row>
    <row r="76" spans="1:24" ht="11" customHeight="1" thickTop="1" thickBot="1" x14ac:dyDescent="0.55000000000000004">
      <c r="A76" s="195"/>
      <c r="B76" s="186"/>
      <c r="C76" s="187"/>
      <c r="D76" s="264"/>
      <c r="E76" s="264"/>
      <c r="F76" s="263"/>
      <c r="G76" s="263"/>
      <c r="H76" s="267"/>
      <c r="I76" s="258"/>
      <c r="J76" s="259"/>
      <c r="K76" s="259"/>
      <c r="L76" s="259"/>
      <c r="M76" s="259"/>
      <c r="N76" s="259"/>
      <c r="O76" s="259"/>
      <c r="P76" s="259"/>
      <c r="Q76" s="248"/>
      <c r="R76" s="246"/>
      <c r="S76" s="248"/>
      <c r="T76" s="246"/>
      <c r="U76" s="248"/>
      <c r="V76" s="247"/>
      <c r="W76" s="252"/>
      <c r="X76" s="247"/>
    </row>
    <row r="77" spans="1:24" ht="32.700000000000003" customHeight="1" thickBot="1" x14ac:dyDescent="0.55000000000000004">
      <c r="A77" s="195"/>
      <c r="B77" s="196"/>
      <c r="C77" s="196"/>
      <c r="D77" s="109">
        <f>D75+1</f>
        <v>74</v>
      </c>
      <c r="E77" s="109" t="str">
        <f>HLOOKUP(MOD(D77,12),note_names,2,TRUE) &amp; (INT(D77/12)-1)</f>
        <v>D5</v>
      </c>
      <c r="F77" s="124" t="s">
        <v>221</v>
      </c>
      <c r="G77" s="109"/>
      <c r="H77" s="121" t="s">
        <v>177</v>
      </c>
      <c r="I77" s="183"/>
      <c r="J77" s="149"/>
      <c r="K77" s="149"/>
      <c r="L77" s="149"/>
      <c r="M77" s="184"/>
      <c r="N77" s="149"/>
      <c r="O77" s="184"/>
      <c r="P77" s="149"/>
      <c r="Q77" s="184"/>
      <c r="R77" s="149"/>
      <c r="S77" s="184"/>
      <c r="T77" s="149"/>
      <c r="U77" s="184"/>
      <c r="V77" s="150"/>
      <c r="W77" s="163"/>
      <c r="X77" s="150"/>
    </row>
    <row r="78" spans="1:24" ht="11" customHeight="1" thickBot="1" x14ac:dyDescent="0.55000000000000004">
      <c r="A78" s="198"/>
      <c r="B78" s="181"/>
      <c r="C78" s="182"/>
      <c r="D78" s="264">
        <f>D77+1</f>
        <v>75</v>
      </c>
      <c r="E78" s="264" t="str">
        <f>HLOOKUP(MOD(D78,12),note_names,2,TRUE) &amp; (INT(D78/12)-1)</f>
        <v>D#/Eb5</v>
      </c>
      <c r="F78" s="263" t="s">
        <v>222</v>
      </c>
      <c r="G78" s="263"/>
      <c r="H78" s="267" t="s">
        <v>178</v>
      </c>
      <c r="I78" s="256" t="s">
        <v>223</v>
      </c>
      <c r="J78" s="257"/>
      <c r="K78" s="257"/>
      <c r="L78" s="257"/>
      <c r="M78" s="257"/>
      <c r="N78" s="257"/>
      <c r="O78" s="257"/>
      <c r="P78" s="257"/>
      <c r="Q78" s="248"/>
      <c r="R78" s="246"/>
      <c r="S78" s="248"/>
      <c r="T78" s="246"/>
      <c r="U78" s="248"/>
      <c r="V78" s="247"/>
      <c r="W78" s="252"/>
      <c r="X78" s="247"/>
    </row>
    <row r="79" spans="1:24" ht="21.7" customHeight="1" thickTop="1" thickBot="1" x14ac:dyDescent="0.55000000000000004">
      <c r="A79" s="195"/>
      <c r="B79" s="186"/>
      <c r="C79" s="187"/>
      <c r="D79" s="264"/>
      <c r="E79" s="264"/>
      <c r="F79" s="263"/>
      <c r="G79" s="263"/>
      <c r="H79" s="267"/>
      <c r="I79" s="258"/>
      <c r="J79" s="259"/>
      <c r="K79" s="259"/>
      <c r="L79" s="259"/>
      <c r="M79" s="259"/>
      <c r="N79" s="259"/>
      <c r="O79" s="259"/>
      <c r="P79" s="259"/>
      <c r="Q79" s="248"/>
      <c r="R79" s="246"/>
      <c r="S79" s="248"/>
      <c r="T79" s="246"/>
      <c r="U79" s="248"/>
      <c r="V79" s="247"/>
      <c r="W79" s="252"/>
      <c r="X79" s="247"/>
    </row>
    <row r="80" spans="1:24" ht="32.700000000000003" customHeight="1" thickBot="1" x14ac:dyDescent="0.55000000000000004">
      <c r="A80" s="197"/>
      <c r="B80" s="199"/>
      <c r="C80" s="199"/>
      <c r="D80" s="109">
        <f>D78+1</f>
        <v>76</v>
      </c>
      <c r="E80" s="109" t="str">
        <f>HLOOKUP(MOD(D80,12),note_names,2,TRUE) &amp; (INT(D80/12)-1)</f>
        <v>E5</v>
      </c>
      <c r="F80" s="124" t="s">
        <v>226</v>
      </c>
      <c r="G80" s="124"/>
      <c r="H80" s="121" t="s">
        <v>179</v>
      </c>
      <c r="I80" s="260" t="s">
        <v>225</v>
      </c>
      <c r="J80" s="261"/>
      <c r="K80" s="261"/>
      <c r="L80" s="261"/>
      <c r="M80" s="261"/>
      <c r="N80" s="261"/>
      <c r="O80" s="261"/>
      <c r="P80" s="261"/>
      <c r="Q80" s="184"/>
      <c r="R80" s="149"/>
      <c r="S80" s="184"/>
      <c r="T80" s="149"/>
      <c r="U80" s="184"/>
      <c r="V80" s="150"/>
      <c r="W80" s="163"/>
      <c r="X80" s="150"/>
    </row>
    <row r="81" spans="1:24" ht="32.700000000000003" customHeight="1" thickTop="1" thickBot="1" x14ac:dyDescent="0.55000000000000004">
      <c r="A81" s="195"/>
      <c r="B81" s="196"/>
      <c r="C81" s="196"/>
      <c r="D81" s="109">
        <f>D80+1</f>
        <v>77</v>
      </c>
      <c r="E81" s="109" t="str">
        <f>HLOOKUP(MOD(D81,12),note_names,2,TRUE) &amp; (INT(D81/12)-1)</f>
        <v>F5</v>
      </c>
      <c r="F81" s="124" t="s">
        <v>227</v>
      </c>
      <c r="G81" s="124"/>
      <c r="H81" s="121" t="s">
        <v>180</v>
      </c>
      <c r="I81" s="260" t="s">
        <v>224</v>
      </c>
      <c r="J81" s="261"/>
      <c r="K81" s="261"/>
      <c r="L81" s="261"/>
      <c r="M81" s="261"/>
      <c r="N81" s="261"/>
      <c r="O81" s="261"/>
      <c r="P81" s="261"/>
      <c r="Q81" s="184"/>
      <c r="R81" s="149"/>
      <c r="S81" s="184"/>
      <c r="T81" s="149"/>
      <c r="U81" s="184"/>
      <c r="V81" s="150"/>
      <c r="W81" s="163"/>
      <c r="X81" s="150"/>
    </row>
    <row r="82" spans="1:24" ht="24.5" customHeight="1" thickBot="1" x14ac:dyDescent="0.55000000000000004">
      <c r="A82" s="197"/>
      <c r="B82" s="181"/>
      <c r="C82" s="182"/>
      <c r="D82" s="264">
        <f>D81+1</f>
        <v>78</v>
      </c>
      <c r="E82" s="264" t="str">
        <f>HLOOKUP(MOD(D82,12),note_names,2,TRUE) &amp; (INT(D82/12)-1)</f>
        <v>F#/Gb5</v>
      </c>
      <c r="F82" s="266" t="s">
        <v>90</v>
      </c>
      <c r="G82" s="264"/>
      <c r="H82" s="267" t="s">
        <v>181</v>
      </c>
      <c r="I82" s="262"/>
      <c r="J82" s="246"/>
      <c r="K82" s="246"/>
      <c r="L82" s="246"/>
      <c r="M82" s="248"/>
      <c r="N82" s="246"/>
      <c r="O82" s="248"/>
      <c r="P82" s="246"/>
      <c r="Q82" s="248"/>
      <c r="R82" s="246"/>
      <c r="S82" s="248"/>
      <c r="T82" s="246"/>
      <c r="U82" s="248"/>
      <c r="V82" s="247"/>
      <c r="W82" s="252"/>
      <c r="X82" s="247"/>
    </row>
    <row r="83" spans="1:24" ht="8.5" customHeight="1" thickTop="1" thickBot="1" x14ac:dyDescent="0.55000000000000004">
      <c r="A83" s="195"/>
      <c r="B83" s="186"/>
      <c r="C83" s="187"/>
      <c r="D83" s="264"/>
      <c r="E83" s="264"/>
      <c r="F83" s="266"/>
      <c r="G83" s="264"/>
      <c r="H83" s="267"/>
      <c r="I83" s="262"/>
      <c r="J83" s="246"/>
      <c r="K83" s="246"/>
      <c r="L83" s="246"/>
      <c r="M83" s="248"/>
      <c r="N83" s="246"/>
      <c r="O83" s="248"/>
      <c r="P83" s="246"/>
      <c r="Q83" s="248"/>
      <c r="R83" s="246"/>
      <c r="S83" s="248"/>
      <c r="T83" s="246"/>
      <c r="U83" s="248"/>
      <c r="V83" s="247"/>
      <c r="W83" s="252"/>
      <c r="X83" s="247"/>
    </row>
    <row r="84" spans="1:24" ht="32.700000000000003" customHeight="1" thickBot="1" x14ac:dyDescent="0.55000000000000004">
      <c r="A84" s="195"/>
      <c r="B84" s="196"/>
      <c r="C84" s="196"/>
      <c r="D84" s="109">
        <f>D82+1</f>
        <v>79</v>
      </c>
      <c r="E84" s="109" t="str">
        <f>HLOOKUP(MOD(D84,12),note_names,2,TRUE) &amp; (INT(D84/12)-1)</f>
        <v>G5</v>
      </c>
      <c r="F84" s="125" t="s">
        <v>91</v>
      </c>
      <c r="G84" s="109"/>
      <c r="H84" s="121" t="s">
        <v>182</v>
      </c>
      <c r="I84" s="183"/>
      <c r="J84" s="149"/>
      <c r="K84" s="149"/>
      <c r="L84" s="149"/>
      <c r="M84" s="184"/>
      <c r="N84" s="149"/>
      <c r="O84" s="184"/>
      <c r="P84" s="149"/>
      <c r="Q84" s="184"/>
      <c r="R84" s="149"/>
      <c r="S84" s="184"/>
      <c r="T84" s="149"/>
      <c r="U84" s="184"/>
      <c r="V84" s="150"/>
      <c r="W84" s="163"/>
      <c r="X84" s="150"/>
    </row>
    <row r="85" spans="1:24" ht="16.5" customHeight="1" thickBot="1" x14ac:dyDescent="0.55000000000000004">
      <c r="A85" s="197"/>
      <c r="B85" s="181"/>
      <c r="C85" s="182"/>
      <c r="D85" s="264">
        <f>D84+1</f>
        <v>80</v>
      </c>
      <c r="E85" s="264" t="str">
        <f>HLOOKUP(MOD(D85,12),note_names,2,TRUE) &amp; (INT(D85/12)-1)</f>
        <v>G#/Ab5</v>
      </c>
      <c r="F85" s="266" t="s">
        <v>92</v>
      </c>
      <c r="G85" s="264"/>
      <c r="H85" s="267" t="s">
        <v>183</v>
      </c>
      <c r="I85" s="262"/>
      <c r="J85" s="246"/>
      <c r="K85" s="246"/>
      <c r="L85" s="246"/>
      <c r="M85" s="248"/>
      <c r="N85" s="246"/>
      <c r="O85" s="248"/>
      <c r="P85" s="246"/>
      <c r="Q85" s="248"/>
      <c r="R85" s="246"/>
      <c r="S85" s="248"/>
      <c r="T85" s="246"/>
      <c r="U85" s="248"/>
      <c r="V85" s="247"/>
      <c r="W85" s="252"/>
      <c r="X85" s="247"/>
    </row>
    <row r="86" spans="1:24" ht="16.5" customHeight="1" thickTop="1" thickBot="1" x14ac:dyDescent="0.55000000000000004">
      <c r="A86" s="195"/>
      <c r="B86" s="186"/>
      <c r="C86" s="187"/>
      <c r="D86" s="264"/>
      <c r="E86" s="264"/>
      <c r="F86" s="266"/>
      <c r="G86" s="264"/>
      <c r="H86" s="267"/>
      <c r="I86" s="262"/>
      <c r="J86" s="246"/>
      <c r="K86" s="246"/>
      <c r="L86" s="246"/>
      <c r="M86" s="248"/>
      <c r="N86" s="246"/>
      <c r="O86" s="248"/>
      <c r="P86" s="246"/>
      <c r="Q86" s="248"/>
      <c r="R86" s="246"/>
      <c r="S86" s="248"/>
      <c r="T86" s="246"/>
      <c r="U86" s="248"/>
      <c r="V86" s="247"/>
      <c r="W86" s="252"/>
      <c r="X86" s="247"/>
    </row>
    <row r="87" spans="1:24" ht="32.700000000000003" customHeight="1" thickBot="1" x14ac:dyDescent="0.55000000000000004">
      <c r="A87" s="195"/>
      <c r="B87" s="196"/>
      <c r="C87" s="196"/>
      <c r="D87" s="109">
        <f>D85+1</f>
        <v>81</v>
      </c>
      <c r="E87" s="109" t="str">
        <f>HLOOKUP(MOD(D87,12),note_names,2,TRUE) &amp; (INT(D87/12)-1)</f>
        <v>A5</v>
      </c>
      <c r="F87" s="125" t="s">
        <v>93</v>
      </c>
      <c r="G87" s="109"/>
      <c r="H87" s="121" t="s">
        <v>184</v>
      </c>
      <c r="I87" s="200"/>
      <c r="J87" s="155"/>
      <c r="K87" s="155"/>
      <c r="L87" s="155"/>
      <c r="M87" s="201"/>
      <c r="N87" s="155"/>
      <c r="O87" s="201"/>
      <c r="P87" s="155"/>
      <c r="Q87" s="201"/>
      <c r="R87" s="155"/>
      <c r="S87" s="201"/>
      <c r="T87" s="155"/>
      <c r="U87" s="201"/>
      <c r="V87" s="156"/>
      <c r="W87" s="163"/>
      <c r="X87" s="150"/>
    </row>
    <row r="88" spans="1:24" ht="8.5" customHeight="1" thickBot="1" x14ac:dyDescent="0.55000000000000004">
      <c r="A88" s="197"/>
      <c r="B88" s="181"/>
      <c r="C88" s="182"/>
      <c r="D88" s="264">
        <f>D87+1</f>
        <v>82</v>
      </c>
      <c r="E88" s="264" t="str">
        <f>HLOOKUP(MOD(D88,12),note_names,2,TRUE) &amp; (INT(D88/12)-1)</f>
        <v>A#/Bb5</v>
      </c>
      <c r="F88" s="266" t="s">
        <v>94</v>
      </c>
      <c r="G88" s="264"/>
      <c r="H88" s="267" t="s">
        <v>185</v>
      </c>
      <c r="I88" s="236" t="s">
        <v>208</v>
      </c>
      <c r="J88" s="237"/>
      <c r="K88" s="237"/>
      <c r="L88" s="237"/>
      <c r="M88" s="237"/>
      <c r="N88" s="237"/>
      <c r="O88" s="237"/>
      <c r="P88" s="237"/>
      <c r="Q88" s="237"/>
      <c r="R88" s="237"/>
      <c r="S88" s="237"/>
      <c r="T88" s="237"/>
      <c r="U88" s="237"/>
      <c r="V88" s="238"/>
      <c r="W88" s="252"/>
      <c r="X88" s="247"/>
    </row>
    <row r="89" spans="1:24" ht="24.5" customHeight="1" thickTop="1" thickBot="1" x14ac:dyDescent="0.55000000000000004">
      <c r="A89" s="195"/>
      <c r="B89" s="186"/>
      <c r="C89" s="187"/>
      <c r="D89" s="264"/>
      <c r="E89" s="264"/>
      <c r="F89" s="266"/>
      <c r="G89" s="264"/>
      <c r="H89" s="267"/>
      <c r="I89" s="239"/>
      <c r="J89" s="240"/>
      <c r="K89" s="240"/>
      <c r="L89" s="240"/>
      <c r="M89" s="240"/>
      <c r="N89" s="240"/>
      <c r="O89" s="240"/>
      <c r="P89" s="240"/>
      <c r="Q89" s="240"/>
      <c r="R89" s="240"/>
      <c r="S89" s="240"/>
      <c r="T89" s="240"/>
      <c r="U89" s="240"/>
      <c r="V89" s="241"/>
      <c r="W89" s="252"/>
      <c r="X89" s="247"/>
    </row>
    <row r="90" spans="1:24" ht="32.700000000000003" customHeight="1" thickBot="1" x14ac:dyDescent="0.55000000000000004">
      <c r="A90" s="197"/>
      <c r="B90" s="199"/>
      <c r="C90" s="199"/>
      <c r="D90" s="111">
        <f>+D88+1</f>
        <v>83</v>
      </c>
      <c r="E90" s="111" t="str">
        <f>HLOOKUP(MOD(D90,12),note_names,2,TRUE) &amp; (INT(D90/12)-1)</f>
        <v>B5</v>
      </c>
      <c r="F90" s="126" t="s">
        <v>220</v>
      </c>
      <c r="G90" s="113"/>
      <c r="H90" s="129" t="s">
        <v>186</v>
      </c>
      <c r="I90" s="234" t="s">
        <v>201</v>
      </c>
      <c r="J90" s="235"/>
      <c r="K90" s="234" t="s">
        <v>202</v>
      </c>
      <c r="L90" s="235"/>
      <c r="M90" s="234" t="s">
        <v>203</v>
      </c>
      <c r="N90" s="235"/>
      <c r="O90" s="234" t="s">
        <v>204</v>
      </c>
      <c r="P90" s="235"/>
      <c r="Q90" s="234" t="s">
        <v>205</v>
      </c>
      <c r="R90" s="235"/>
      <c r="S90" s="234" t="s">
        <v>206</v>
      </c>
      <c r="T90" s="235"/>
      <c r="U90" s="234" t="s">
        <v>207</v>
      </c>
      <c r="V90" s="235"/>
      <c r="W90" s="164"/>
      <c r="X90" s="152"/>
    </row>
    <row r="91" spans="1:24" ht="32.700000000000003" customHeight="1" thickTop="1" thickBot="1" x14ac:dyDescent="0.55000000000000004">
      <c r="A91" s="195"/>
      <c r="B91" s="196"/>
      <c r="C91" s="196"/>
      <c r="D91" s="112">
        <f>D90+1</f>
        <v>84</v>
      </c>
      <c r="E91" s="112" t="str">
        <f>HLOOKUP(MOD(D91,12),note_names,2,TRUE) &amp; (INT(D91/12)-1)</f>
        <v>C6</v>
      </c>
      <c r="F91" s="220" t="s">
        <v>95</v>
      </c>
      <c r="G91" s="223" t="s">
        <v>216</v>
      </c>
      <c r="H91" s="130" t="s">
        <v>187</v>
      </c>
      <c r="I91" s="202" t="s">
        <v>54</v>
      </c>
      <c r="J91" s="139" t="s">
        <v>194</v>
      </c>
      <c r="K91" s="135" t="s">
        <v>55</v>
      </c>
      <c r="L91" s="140" t="s">
        <v>195</v>
      </c>
      <c r="M91" s="135" t="s">
        <v>56</v>
      </c>
      <c r="N91" s="139" t="s">
        <v>196</v>
      </c>
      <c r="O91" s="202" t="s">
        <v>57</v>
      </c>
      <c r="P91" s="139" t="s">
        <v>197</v>
      </c>
      <c r="Q91" s="135" t="s">
        <v>58</v>
      </c>
      <c r="R91" s="139" t="s">
        <v>198</v>
      </c>
      <c r="S91" s="135" t="s">
        <v>59</v>
      </c>
      <c r="T91" s="139" t="s">
        <v>199</v>
      </c>
      <c r="U91" s="135" t="s">
        <v>60</v>
      </c>
      <c r="V91" s="140" t="s">
        <v>200</v>
      </c>
      <c r="W91" s="165"/>
      <c r="X91" s="154"/>
    </row>
    <row r="92" spans="1:24" ht="21.7" customHeight="1" thickBot="1" x14ac:dyDescent="0.55000000000000004">
      <c r="A92" s="197"/>
      <c r="B92" s="181"/>
      <c r="C92" s="182"/>
      <c r="D92" s="264">
        <f>D91+1</f>
        <v>85</v>
      </c>
      <c r="E92" s="264" t="str">
        <f>HLOOKUP(MOD(D92,12),note_names,2,TRUE) &amp; (INT(D92/12)-1)</f>
        <v>C#/Db6</v>
      </c>
      <c r="F92" s="285" t="s">
        <v>96</v>
      </c>
      <c r="G92" s="263" t="s">
        <v>107</v>
      </c>
      <c r="H92" s="267" t="s">
        <v>188</v>
      </c>
      <c r="I92" s="249" t="s">
        <v>54</v>
      </c>
      <c r="J92" s="251" t="s">
        <v>197</v>
      </c>
      <c r="K92" s="253" t="s">
        <v>55</v>
      </c>
      <c r="L92" s="251" t="s">
        <v>198</v>
      </c>
      <c r="M92" s="253" t="s">
        <v>56</v>
      </c>
      <c r="N92" s="251" t="s">
        <v>199</v>
      </c>
      <c r="O92" s="249" t="s">
        <v>57</v>
      </c>
      <c r="P92" s="250" t="s">
        <v>200</v>
      </c>
      <c r="Q92" s="249" t="s">
        <v>6</v>
      </c>
      <c r="R92" s="251" t="s">
        <v>194</v>
      </c>
      <c r="S92" s="253" t="s">
        <v>59</v>
      </c>
      <c r="T92" s="250" t="s">
        <v>195</v>
      </c>
      <c r="U92" s="253" t="s">
        <v>60</v>
      </c>
      <c r="V92" s="251" t="s">
        <v>196</v>
      </c>
      <c r="W92" s="252"/>
      <c r="X92" s="247"/>
    </row>
    <row r="93" spans="1:24" ht="11" customHeight="1" thickTop="1" thickBot="1" x14ac:dyDescent="0.55000000000000004">
      <c r="A93" s="195"/>
      <c r="B93" s="186"/>
      <c r="C93" s="187"/>
      <c r="D93" s="264"/>
      <c r="E93" s="264"/>
      <c r="F93" s="285"/>
      <c r="G93" s="263"/>
      <c r="H93" s="267"/>
      <c r="I93" s="249"/>
      <c r="J93" s="251"/>
      <c r="K93" s="253"/>
      <c r="L93" s="251"/>
      <c r="M93" s="253"/>
      <c r="N93" s="251"/>
      <c r="O93" s="249"/>
      <c r="P93" s="250"/>
      <c r="Q93" s="249"/>
      <c r="R93" s="251"/>
      <c r="S93" s="253"/>
      <c r="T93" s="250"/>
      <c r="U93" s="253"/>
      <c r="V93" s="251"/>
      <c r="W93" s="252"/>
      <c r="X93" s="247"/>
    </row>
    <row r="94" spans="1:24" ht="32.700000000000003" customHeight="1" thickBot="1" x14ac:dyDescent="0.55000000000000004">
      <c r="A94" s="195"/>
      <c r="B94" s="196"/>
      <c r="C94" s="196"/>
      <c r="D94" s="109">
        <f>D92+1</f>
        <v>86</v>
      </c>
      <c r="E94" s="109" t="str">
        <f>HLOOKUP(MOD(D94,12),note_names,2,TRUE) &amp; (INT(D94/12)-1)</f>
        <v>D6</v>
      </c>
      <c r="F94" s="221" t="s">
        <v>97</v>
      </c>
      <c r="G94" s="124" t="s">
        <v>108</v>
      </c>
      <c r="H94" s="121" t="s">
        <v>189</v>
      </c>
      <c r="I94" s="137" t="s">
        <v>54</v>
      </c>
      <c r="J94" s="142" t="s">
        <v>200</v>
      </c>
      <c r="K94" s="137" t="s">
        <v>3</v>
      </c>
      <c r="L94" s="141" t="s">
        <v>194</v>
      </c>
      <c r="M94" s="136" t="s">
        <v>56</v>
      </c>
      <c r="N94" s="142" t="s">
        <v>195</v>
      </c>
      <c r="O94" s="137" t="s">
        <v>57</v>
      </c>
      <c r="P94" s="141" t="s">
        <v>196</v>
      </c>
      <c r="Q94" s="137" t="s">
        <v>6</v>
      </c>
      <c r="R94" s="141" t="s">
        <v>197</v>
      </c>
      <c r="S94" s="136" t="s">
        <v>59</v>
      </c>
      <c r="T94" s="141" t="s">
        <v>198</v>
      </c>
      <c r="U94" s="136" t="s">
        <v>60</v>
      </c>
      <c r="V94" s="141" t="s">
        <v>199</v>
      </c>
      <c r="W94" s="163"/>
      <c r="X94" s="150"/>
    </row>
    <row r="95" spans="1:24" ht="11" customHeight="1" thickBot="1" x14ac:dyDescent="0.55000000000000004">
      <c r="A95" s="198"/>
      <c r="B95" s="181"/>
      <c r="C95" s="182"/>
      <c r="D95" s="264">
        <f>D94+1</f>
        <v>87</v>
      </c>
      <c r="E95" s="264" t="str">
        <f>HLOOKUP(MOD(D95,12),note_names,2,TRUE) &amp; (INT(D95/12)-1)</f>
        <v>D#/Eb6</v>
      </c>
      <c r="F95" s="285" t="s">
        <v>98</v>
      </c>
      <c r="G95" s="263" t="s">
        <v>109</v>
      </c>
      <c r="H95" s="267" t="s">
        <v>190</v>
      </c>
      <c r="I95" s="249" t="s">
        <v>54</v>
      </c>
      <c r="J95" s="251" t="s">
        <v>196</v>
      </c>
      <c r="K95" s="249" t="s">
        <v>3</v>
      </c>
      <c r="L95" s="251" t="s">
        <v>197</v>
      </c>
      <c r="M95" s="253" t="s">
        <v>56</v>
      </c>
      <c r="N95" s="251" t="s">
        <v>198</v>
      </c>
      <c r="O95" s="249" t="s">
        <v>57</v>
      </c>
      <c r="P95" s="251" t="s">
        <v>199</v>
      </c>
      <c r="Q95" s="249" t="s">
        <v>6</v>
      </c>
      <c r="R95" s="250" t="s">
        <v>200</v>
      </c>
      <c r="S95" s="249" t="s">
        <v>7</v>
      </c>
      <c r="T95" s="251" t="s">
        <v>194</v>
      </c>
      <c r="U95" s="253" t="s">
        <v>60</v>
      </c>
      <c r="V95" s="250" t="s">
        <v>195</v>
      </c>
      <c r="W95" s="252"/>
      <c r="X95" s="247"/>
    </row>
    <row r="96" spans="1:24" ht="21.7" customHeight="1" thickTop="1" thickBot="1" x14ac:dyDescent="0.55000000000000004">
      <c r="A96" s="195"/>
      <c r="B96" s="186"/>
      <c r="C96" s="187"/>
      <c r="D96" s="264"/>
      <c r="E96" s="264"/>
      <c r="F96" s="285"/>
      <c r="G96" s="263"/>
      <c r="H96" s="267"/>
      <c r="I96" s="249"/>
      <c r="J96" s="251"/>
      <c r="K96" s="249"/>
      <c r="L96" s="251"/>
      <c r="M96" s="253"/>
      <c r="N96" s="251"/>
      <c r="O96" s="249"/>
      <c r="P96" s="251"/>
      <c r="Q96" s="249"/>
      <c r="R96" s="250"/>
      <c r="S96" s="249"/>
      <c r="T96" s="251"/>
      <c r="U96" s="253"/>
      <c r="V96" s="250"/>
      <c r="W96" s="252"/>
      <c r="X96" s="247"/>
    </row>
    <row r="97" spans="1:24" ht="32.700000000000003" customHeight="1" thickBot="1" x14ac:dyDescent="0.55000000000000004">
      <c r="A97" s="197"/>
      <c r="B97" s="199"/>
      <c r="C97" s="199"/>
      <c r="D97" s="109">
        <f>D95+1</f>
        <v>88</v>
      </c>
      <c r="E97" s="109" t="str">
        <f>HLOOKUP(MOD(D97,12),note_names,2,TRUE) &amp; (INT(D97/12)-1)</f>
        <v>E6</v>
      </c>
      <c r="F97" s="221" t="s">
        <v>99</v>
      </c>
      <c r="G97" s="124" t="s">
        <v>110</v>
      </c>
      <c r="H97" s="131"/>
      <c r="I97" s="137" t="s">
        <v>54</v>
      </c>
      <c r="J97" s="141" t="s">
        <v>199</v>
      </c>
      <c r="K97" s="137" t="s">
        <v>3</v>
      </c>
      <c r="L97" s="142" t="s">
        <v>200</v>
      </c>
      <c r="M97" s="137" t="s">
        <v>61</v>
      </c>
      <c r="N97" s="141" t="s">
        <v>194</v>
      </c>
      <c r="O97" s="137" t="s">
        <v>57</v>
      </c>
      <c r="P97" s="142" t="s">
        <v>195</v>
      </c>
      <c r="Q97" s="137" t="s">
        <v>6</v>
      </c>
      <c r="R97" s="141" t="s">
        <v>196</v>
      </c>
      <c r="S97" s="137" t="s">
        <v>7</v>
      </c>
      <c r="T97" s="141" t="s">
        <v>197</v>
      </c>
      <c r="U97" s="136" t="s">
        <v>60</v>
      </c>
      <c r="V97" s="141" t="s">
        <v>198</v>
      </c>
      <c r="W97" s="163"/>
      <c r="X97" s="150"/>
    </row>
    <row r="98" spans="1:24" ht="32.700000000000003" customHeight="1" thickTop="1" thickBot="1" x14ac:dyDescent="0.55000000000000004">
      <c r="A98" s="195"/>
      <c r="B98" s="196"/>
      <c r="C98" s="196"/>
      <c r="D98" s="109">
        <f>D97+1</f>
        <v>89</v>
      </c>
      <c r="E98" s="109" t="str">
        <f>HLOOKUP(MOD(D98,12),note_names,2,TRUE) &amp; (INT(D98/12)-1)</f>
        <v>F6</v>
      </c>
      <c r="F98" s="221" t="s">
        <v>100</v>
      </c>
      <c r="G98" s="124" t="s">
        <v>111</v>
      </c>
      <c r="H98" s="131"/>
      <c r="I98" s="137" t="s">
        <v>54</v>
      </c>
      <c r="J98" s="142" t="s">
        <v>195</v>
      </c>
      <c r="K98" s="137" t="s">
        <v>3</v>
      </c>
      <c r="L98" s="141" t="s">
        <v>196</v>
      </c>
      <c r="M98" s="137" t="s">
        <v>61</v>
      </c>
      <c r="N98" s="141" t="s">
        <v>197</v>
      </c>
      <c r="O98" s="137" t="s">
        <v>57</v>
      </c>
      <c r="P98" s="141" t="s">
        <v>198</v>
      </c>
      <c r="Q98" s="137" t="s">
        <v>6</v>
      </c>
      <c r="R98" s="141" t="s">
        <v>199</v>
      </c>
      <c r="S98" s="137" t="s">
        <v>7</v>
      </c>
      <c r="T98" s="142" t="s">
        <v>200</v>
      </c>
      <c r="U98" s="137" t="s">
        <v>62</v>
      </c>
      <c r="V98" s="141" t="s">
        <v>194</v>
      </c>
      <c r="W98" s="163"/>
      <c r="X98" s="150"/>
    </row>
    <row r="99" spans="1:24" ht="24.5" customHeight="1" thickBot="1" x14ac:dyDescent="0.55000000000000004">
      <c r="A99" s="197"/>
      <c r="B99" s="181"/>
      <c r="C99" s="182"/>
      <c r="D99" s="264">
        <f>D98+1</f>
        <v>90</v>
      </c>
      <c r="E99" s="264" t="str">
        <f>HLOOKUP(MOD(D99,12),note_names,2,TRUE) &amp; (INT(D99/12)-1)</f>
        <v>F#/Gb6</v>
      </c>
      <c r="F99" s="285" t="s">
        <v>101</v>
      </c>
      <c r="G99" s="263" t="s">
        <v>112</v>
      </c>
      <c r="H99" s="265"/>
      <c r="I99" s="249" t="s">
        <v>54</v>
      </c>
      <c r="J99" s="251" t="s">
        <v>198</v>
      </c>
      <c r="K99" s="249" t="s">
        <v>3</v>
      </c>
      <c r="L99" s="251" t="s">
        <v>199</v>
      </c>
      <c r="M99" s="249" t="s">
        <v>61</v>
      </c>
      <c r="N99" s="250" t="s">
        <v>200</v>
      </c>
      <c r="O99" s="253" t="s">
        <v>58</v>
      </c>
      <c r="P99" s="251" t="s">
        <v>194</v>
      </c>
      <c r="Q99" s="249" t="s">
        <v>6</v>
      </c>
      <c r="R99" s="250" t="s">
        <v>195</v>
      </c>
      <c r="S99" s="249" t="s">
        <v>7</v>
      </c>
      <c r="T99" s="251" t="s">
        <v>196</v>
      </c>
      <c r="U99" s="249" t="s">
        <v>62</v>
      </c>
      <c r="V99" s="251" t="s">
        <v>197</v>
      </c>
      <c r="W99" s="252"/>
      <c r="X99" s="247"/>
    </row>
    <row r="100" spans="1:24" ht="8.5" customHeight="1" thickTop="1" thickBot="1" x14ac:dyDescent="0.55000000000000004">
      <c r="A100" s="195"/>
      <c r="B100" s="186"/>
      <c r="C100" s="187"/>
      <c r="D100" s="264"/>
      <c r="E100" s="264"/>
      <c r="F100" s="285"/>
      <c r="G100" s="263"/>
      <c r="H100" s="265"/>
      <c r="I100" s="249"/>
      <c r="J100" s="251"/>
      <c r="K100" s="249"/>
      <c r="L100" s="251"/>
      <c r="M100" s="249"/>
      <c r="N100" s="250"/>
      <c r="O100" s="253"/>
      <c r="P100" s="251"/>
      <c r="Q100" s="249"/>
      <c r="R100" s="250"/>
      <c r="S100" s="249"/>
      <c r="T100" s="251"/>
      <c r="U100" s="249"/>
      <c r="V100" s="251"/>
      <c r="W100" s="252"/>
      <c r="X100" s="247"/>
    </row>
    <row r="101" spans="1:24" ht="32.700000000000003" customHeight="1" thickBot="1" x14ac:dyDescent="0.55000000000000004">
      <c r="A101" s="195"/>
      <c r="B101" s="196"/>
      <c r="C101" s="196"/>
      <c r="D101" s="109">
        <f>D99+1</f>
        <v>91</v>
      </c>
      <c r="E101" s="109" t="str">
        <f>HLOOKUP(MOD(D101,12),note_names,2,TRUE) &amp; (INT(D101/12)-1)</f>
        <v>G6</v>
      </c>
      <c r="F101" s="221" t="s">
        <v>102</v>
      </c>
      <c r="G101" s="124" t="s">
        <v>113</v>
      </c>
      <c r="H101" s="131"/>
      <c r="I101" s="136" t="s">
        <v>55</v>
      </c>
      <c r="J101" s="141" t="s">
        <v>194</v>
      </c>
      <c r="K101" s="137" t="s">
        <v>3</v>
      </c>
      <c r="L101" s="142" t="s">
        <v>195</v>
      </c>
      <c r="M101" s="137" t="s">
        <v>61</v>
      </c>
      <c r="N101" s="141" t="s">
        <v>196</v>
      </c>
      <c r="O101" s="136" t="s">
        <v>58</v>
      </c>
      <c r="P101" s="141" t="s">
        <v>197</v>
      </c>
      <c r="Q101" s="137" t="s">
        <v>6</v>
      </c>
      <c r="R101" s="141" t="s">
        <v>198</v>
      </c>
      <c r="S101" s="137" t="s">
        <v>7</v>
      </c>
      <c r="T101" s="141" t="s">
        <v>199</v>
      </c>
      <c r="U101" s="137" t="s">
        <v>62</v>
      </c>
      <c r="V101" s="142" t="s">
        <v>200</v>
      </c>
      <c r="W101" s="163"/>
      <c r="X101" s="150"/>
    </row>
    <row r="102" spans="1:24" ht="16.5" customHeight="1" thickBot="1" x14ac:dyDescent="0.55000000000000004">
      <c r="A102" s="197"/>
      <c r="B102" s="181"/>
      <c r="C102" s="182"/>
      <c r="D102" s="264">
        <f>D101+1</f>
        <v>92</v>
      </c>
      <c r="E102" s="264" t="str">
        <f>HLOOKUP(MOD(D102,12),note_names,2,TRUE) &amp; (INT(D102/12)-1)</f>
        <v>G#/Ab6</v>
      </c>
      <c r="F102" s="285" t="s">
        <v>103</v>
      </c>
      <c r="G102" s="263" t="s">
        <v>114</v>
      </c>
      <c r="H102" s="265"/>
      <c r="I102" s="253" t="s">
        <v>55</v>
      </c>
      <c r="J102" s="251" t="s">
        <v>197</v>
      </c>
      <c r="K102" s="249" t="s">
        <v>3</v>
      </c>
      <c r="L102" s="251" t="s">
        <v>198</v>
      </c>
      <c r="M102" s="249" t="s">
        <v>61</v>
      </c>
      <c r="N102" s="251" t="s">
        <v>199</v>
      </c>
      <c r="O102" s="253" t="s">
        <v>58</v>
      </c>
      <c r="P102" s="250" t="s">
        <v>200</v>
      </c>
      <c r="Q102" s="253" t="s">
        <v>59</v>
      </c>
      <c r="R102" s="251" t="s">
        <v>194</v>
      </c>
      <c r="S102" s="249" t="s">
        <v>7</v>
      </c>
      <c r="T102" s="250" t="s">
        <v>195</v>
      </c>
      <c r="U102" s="249" t="s">
        <v>62</v>
      </c>
      <c r="V102" s="251" t="s">
        <v>196</v>
      </c>
      <c r="W102" s="252"/>
      <c r="X102" s="247"/>
    </row>
    <row r="103" spans="1:24" ht="16.5" customHeight="1" thickTop="1" thickBot="1" x14ac:dyDescent="0.55000000000000004">
      <c r="A103" s="195"/>
      <c r="B103" s="186"/>
      <c r="C103" s="187"/>
      <c r="D103" s="264"/>
      <c r="E103" s="264"/>
      <c r="F103" s="285"/>
      <c r="G103" s="263"/>
      <c r="H103" s="265"/>
      <c r="I103" s="253"/>
      <c r="J103" s="251"/>
      <c r="K103" s="249"/>
      <c r="L103" s="251"/>
      <c r="M103" s="249"/>
      <c r="N103" s="251"/>
      <c r="O103" s="253"/>
      <c r="P103" s="250"/>
      <c r="Q103" s="253"/>
      <c r="R103" s="251"/>
      <c r="S103" s="249"/>
      <c r="T103" s="250"/>
      <c r="U103" s="249"/>
      <c r="V103" s="251"/>
      <c r="W103" s="252"/>
      <c r="X103" s="247"/>
    </row>
    <row r="104" spans="1:24" ht="32.700000000000003" customHeight="1" thickBot="1" x14ac:dyDescent="0.55000000000000004">
      <c r="A104" s="195"/>
      <c r="B104" s="196"/>
      <c r="C104" s="196"/>
      <c r="D104" s="109">
        <f>D102+1</f>
        <v>93</v>
      </c>
      <c r="E104" s="109" t="str">
        <f>HLOOKUP(MOD(D104,12),note_names,2,TRUE) &amp; (INT(D104/12)-1)</f>
        <v>A6</v>
      </c>
      <c r="F104" s="221" t="s">
        <v>104</v>
      </c>
      <c r="G104" s="124" t="s">
        <v>115</v>
      </c>
      <c r="H104" s="131"/>
      <c r="I104" s="136" t="s">
        <v>55</v>
      </c>
      <c r="J104" s="142" t="s">
        <v>200</v>
      </c>
      <c r="K104" s="136" t="s">
        <v>56</v>
      </c>
      <c r="L104" s="141" t="s">
        <v>194</v>
      </c>
      <c r="M104" s="137" t="s">
        <v>61</v>
      </c>
      <c r="N104" s="142" t="s">
        <v>195</v>
      </c>
      <c r="O104" s="136" t="s">
        <v>58</v>
      </c>
      <c r="P104" s="141" t="s">
        <v>196</v>
      </c>
      <c r="Q104" s="136" t="s">
        <v>59</v>
      </c>
      <c r="R104" s="141" t="s">
        <v>197</v>
      </c>
      <c r="S104" s="137" t="s">
        <v>7</v>
      </c>
      <c r="T104" s="141" t="s">
        <v>198</v>
      </c>
      <c r="U104" s="137" t="s">
        <v>62</v>
      </c>
      <c r="V104" s="141" t="s">
        <v>199</v>
      </c>
      <c r="W104" s="163"/>
      <c r="X104" s="150"/>
    </row>
    <row r="105" spans="1:24" ht="8.5" customHeight="1" thickBot="1" x14ac:dyDescent="0.55000000000000004">
      <c r="A105" s="197"/>
      <c r="B105" s="181"/>
      <c r="C105" s="182"/>
      <c r="D105" s="264">
        <f>D104+1</f>
        <v>94</v>
      </c>
      <c r="E105" s="264" t="str">
        <f>HLOOKUP(MOD(D105,12),note_names,2,TRUE) &amp; (INT(D105/12)-1)</f>
        <v>A#/Bb6</v>
      </c>
      <c r="F105" s="271" t="s">
        <v>105</v>
      </c>
      <c r="G105" s="263" t="s">
        <v>116</v>
      </c>
      <c r="H105" s="265"/>
      <c r="I105" s="253" t="s">
        <v>55</v>
      </c>
      <c r="J105" s="251" t="s">
        <v>196</v>
      </c>
      <c r="K105" s="253" t="s">
        <v>56</v>
      </c>
      <c r="L105" s="251" t="s">
        <v>197</v>
      </c>
      <c r="M105" s="249" t="s">
        <v>61</v>
      </c>
      <c r="N105" s="251" t="s">
        <v>198</v>
      </c>
      <c r="O105" s="253" t="s">
        <v>58</v>
      </c>
      <c r="P105" s="251" t="s">
        <v>199</v>
      </c>
      <c r="Q105" s="253" t="s">
        <v>59</v>
      </c>
      <c r="R105" s="250" t="s">
        <v>200</v>
      </c>
      <c r="S105" s="253" t="s">
        <v>60</v>
      </c>
      <c r="T105" s="251" t="s">
        <v>194</v>
      </c>
      <c r="U105" s="249" t="s">
        <v>62</v>
      </c>
      <c r="V105" s="250" t="s">
        <v>195</v>
      </c>
      <c r="W105" s="252"/>
      <c r="X105" s="247"/>
    </row>
    <row r="106" spans="1:24" ht="24.5" customHeight="1" thickTop="1" thickBot="1" x14ac:dyDescent="0.55000000000000004">
      <c r="A106" s="195"/>
      <c r="B106" s="186"/>
      <c r="C106" s="187"/>
      <c r="D106" s="264"/>
      <c r="E106" s="264"/>
      <c r="F106" s="272"/>
      <c r="G106" s="263"/>
      <c r="H106" s="265"/>
      <c r="I106" s="253"/>
      <c r="J106" s="251"/>
      <c r="K106" s="253"/>
      <c r="L106" s="251"/>
      <c r="M106" s="249"/>
      <c r="N106" s="251"/>
      <c r="O106" s="253"/>
      <c r="P106" s="251"/>
      <c r="Q106" s="253"/>
      <c r="R106" s="250"/>
      <c r="S106" s="253"/>
      <c r="T106" s="251"/>
      <c r="U106" s="249"/>
      <c r="V106" s="250"/>
      <c r="W106" s="252"/>
      <c r="X106" s="247"/>
    </row>
    <row r="107" spans="1:24" ht="32.700000000000003" customHeight="1" thickBot="1" x14ac:dyDescent="0.55000000000000004">
      <c r="A107" s="197"/>
      <c r="B107" s="199"/>
      <c r="C107" s="199"/>
      <c r="D107" s="111">
        <f>+D105+1</f>
        <v>95</v>
      </c>
      <c r="E107" s="111" t="str">
        <f>HLOOKUP(MOD(D107,12),note_names,2,TRUE) &amp; (INT(D107/12)-1)</f>
        <v>B6</v>
      </c>
      <c r="F107" s="222" t="s">
        <v>106</v>
      </c>
      <c r="G107" s="124" t="s">
        <v>117</v>
      </c>
      <c r="H107" s="133"/>
      <c r="I107" s="138" t="s">
        <v>55</v>
      </c>
      <c r="J107" s="143" t="s">
        <v>199</v>
      </c>
      <c r="K107" s="138" t="s">
        <v>56</v>
      </c>
      <c r="L107" s="144" t="s">
        <v>200</v>
      </c>
      <c r="M107" s="138" t="s">
        <v>57</v>
      </c>
      <c r="N107" s="143" t="s">
        <v>194</v>
      </c>
      <c r="O107" s="138" t="s">
        <v>58</v>
      </c>
      <c r="P107" s="144" t="s">
        <v>195</v>
      </c>
      <c r="Q107" s="138" t="s">
        <v>59</v>
      </c>
      <c r="R107" s="143" t="s">
        <v>196</v>
      </c>
      <c r="S107" s="138" t="s">
        <v>60</v>
      </c>
      <c r="T107" s="143" t="s">
        <v>197</v>
      </c>
      <c r="U107" s="203" t="s">
        <v>62</v>
      </c>
      <c r="V107" s="143" t="s">
        <v>198</v>
      </c>
      <c r="W107" s="164"/>
      <c r="X107" s="152"/>
    </row>
    <row r="108" spans="1:24" ht="32.700000000000003" customHeight="1" thickTop="1" thickBot="1" x14ac:dyDescent="0.55000000000000004">
      <c r="A108" s="195"/>
      <c r="B108" s="196"/>
      <c r="C108" s="196"/>
      <c r="D108" s="112">
        <f>D107+1</f>
        <v>96</v>
      </c>
      <c r="E108" s="112" t="str">
        <f>HLOOKUP(MOD(D108,12),note_names,2,TRUE) &amp; (INT(D108/12)-1)</f>
        <v>C7</v>
      </c>
      <c r="F108" s="224" t="s">
        <v>129</v>
      </c>
      <c r="G108" s="123" t="s">
        <v>118</v>
      </c>
      <c r="H108" s="132"/>
      <c r="I108" s="178"/>
      <c r="J108" s="147"/>
      <c r="K108" s="147"/>
      <c r="L108" s="147"/>
      <c r="M108" s="179"/>
      <c r="N108" s="147"/>
      <c r="O108" s="179"/>
      <c r="P108" s="147"/>
      <c r="Q108" s="179"/>
      <c r="R108" s="147"/>
      <c r="S108" s="179"/>
      <c r="T108" s="147"/>
      <c r="U108" s="179"/>
      <c r="V108" s="148"/>
      <c r="W108" s="165"/>
      <c r="X108" s="154"/>
    </row>
    <row r="109" spans="1:24" ht="21.7" customHeight="1" thickBot="1" x14ac:dyDescent="0.55000000000000004">
      <c r="A109" s="197"/>
      <c r="B109" s="181"/>
      <c r="C109" s="182"/>
      <c r="D109" s="264">
        <f>D108+1</f>
        <v>97</v>
      </c>
      <c r="E109" s="264" t="str">
        <f>HLOOKUP(MOD(D109,12),note_names,2,TRUE) &amp; (INT(D109/12)-1)</f>
        <v>C#/Db7</v>
      </c>
      <c r="F109" s="268" t="s">
        <v>123</v>
      </c>
      <c r="G109" s="263" t="s">
        <v>119</v>
      </c>
      <c r="H109" s="265"/>
      <c r="I109" s="262"/>
      <c r="J109" s="246"/>
      <c r="K109" s="246"/>
      <c r="L109" s="246"/>
      <c r="M109" s="248"/>
      <c r="N109" s="246"/>
      <c r="O109" s="248"/>
      <c r="P109" s="246"/>
      <c r="Q109" s="248"/>
      <c r="R109" s="246"/>
      <c r="S109" s="248"/>
      <c r="T109" s="246"/>
      <c r="U109" s="248"/>
      <c r="V109" s="247"/>
      <c r="W109" s="252"/>
      <c r="X109" s="247"/>
    </row>
    <row r="110" spans="1:24" ht="11" customHeight="1" thickTop="1" thickBot="1" x14ac:dyDescent="0.55000000000000004">
      <c r="A110" s="195"/>
      <c r="B110" s="186"/>
      <c r="C110" s="187"/>
      <c r="D110" s="264"/>
      <c r="E110" s="264"/>
      <c r="F110" s="268"/>
      <c r="G110" s="263"/>
      <c r="H110" s="265"/>
      <c r="I110" s="262"/>
      <c r="J110" s="246"/>
      <c r="K110" s="246"/>
      <c r="L110" s="246"/>
      <c r="M110" s="248"/>
      <c r="N110" s="246"/>
      <c r="O110" s="248"/>
      <c r="P110" s="246"/>
      <c r="Q110" s="248"/>
      <c r="R110" s="246"/>
      <c r="S110" s="248"/>
      <c r="T110" s="246"/>
      <c r="U110" s="248"/>
      <c r="V110" s="247"/>
      <c r="W110" s="252"/>
      <c r="X110" s="247"/>
    </row>
    <row r="111" spans="1:24" ht="32.700000000000003" customHeight="1" thickBot="1" x14ac:dyDescent="0.55000000000000004">
      <c r="A111" s="195"/>
      <c r="B111" s="196"/>
      <c r="C111" s="196"/>
      <c r="D111" s="109">
        <f>D109+1</f>
        <v>98</v>
      </c>
      <c r="E111" s="109" t="str">
        <f>HLOOKUP(MOD(D111,12),note_names,2,TRUE) &amp; (INT(D111/12)-1)</f>
        <v>D7</v>
      </c>
      <c r="F111" s="122" t="s">
        <v>124</v>
      </c>
      <c r="G111" s="124" t="s">
        <v>120</v>
      </c>
      <c r="H111" s="131"/>
      <c r="I111" s="183"/>
      <c r="J111" s="149"/>
      <c r="K111" s="149"/>
      <c r="L111" s="149"/>
      <c r="M111" s="184"/>
      <c r="N111" s="149"/>
      <c r="O111" s="184"/>
      <c r="P111" s="149"/>
      <c r="Q111" s="184"/>
      <c r="R111" s="149"/>
      <c r="S111" s="184"/>
      <c r="T111" s="149"/>
      <c r="U111" s="184"/>
      <c r="V111" s="150"/>
      <c r="W111" s="163"/>
      <c r="X111" s="150"/>
    </row>
    <row r="112" spans="1:24" ht="11" customHeight="1" thickBot="1" x14ac:dyDescent="0.55000000000000004">
      <c r="A112" s="198"/>
      <c r="B112" s="181"/>
      <c r="C112" s="182"/>
      <c r="D112" s="264">
        <f>D111+1</f>
        <v>99</v>
      </c>
      <c r="E112" s="264" t="str">
        <f>HLOOKUP(MOD(D112,12),note_names,2,TRUE) &amp; (INT(D112/12)-1)</f>
        <v>D#/Eb7</v>
      </c>
      <c r="F112" s="268" t="s">
        <v>125</v>
      </c>
      <c r="G112" s="263" t="s">
        <v>121</v>
      </c>
      <c r="H112" s="265"/>
      <c r="I112" s="262"/>
      <c r="J112" s="246"/>
      <c r="K112" s="246"/>
      <c r="L112" s="246"/>
      <c r="M112" s="248"/>
      <c r="N112" s="246"/>
      <c r="O112" s="248"/>
      <c r="P112" s="246"/>
      <c r="Q112" s="248"/>
      <c r="R112" s="246"/>
      <c r="S112" s="248"/>
      <c r="T112" s="246"/>
      <c r="U112" s="248"/>
      <c r="V112" s="247"/>
      <c r="W112" s="252"/>
      <c r="X112" s="247"/>
    </row>
    <row r="113" spans="1:24" ht="21.7" customHeight="1" thickTop="1" thickBot="1" x14ac:dyDescent="0.55000000000000004">
      <c r="A113" s="195"/>
      <c r="B113" s="186"/>
      <c r="C113" s="187"/>
      <c r="D113" s="264"/>
      <c r="E113" s="264"/>
      <c r="F113" s="268"/>
      <c r="G113" s="286"/>
      <c r="H113" s="265"/>
      <c r="I113" s="262"/>
      <c r="J113" s="246"/>
      <c r="K113" s="246"/>
      <c r="L113" s="246"/>
      <c r="M113" s="248"/>
      <c r="N113" s="246"/>
      <c r="O113" s="248"/>
      <c r="P113" s="246"/>
      <c r="Q113" s="248"/>
      <c r="R113" s="246"/>
      <c r="S113" s="248"/>
      <c r="T113" s="246"/>
      <c r="U113" s="248"/>
      <c r="V113" s="247"/>
      <c r="W113" s="252"/>
      <c r="X113" s="247"/>
    </row>
    <row r="114" spans="1:24" ht="32.700000000000003" customHeight="1" thickBot="1" x14ac:dyDescent="0.55000000000000004">
      <c r="A114" s="197"/>
      <c r="B114" s="199"/>
      <c r="C114" s="199"/>
      <c r="D114" s="109">
        <f>D112+1</f>
        <v>100</v>
      </c>
      <c r="E114" s="109" t="str">
        <f>HLOOKUP(MOD(D114,12),note_names,2,TRUE) &amp; (INT(D114/12)-1)</f>
        <v>E7</v>
      </c>
      <c r="F114" s="228" t="s">
        <v>126</v>
      </c>
      <c r="G114" s="108"/>
      <c r="H114" s="229"/>
      <c r="I114" s="183"/>
      <c r="J114" s="149"/>
      <c r="K114" s="149"/>
      <c r="L114" s="149"/>
      <c r="M114" s="184"/>
      <c r="N114" s="149"/>
      <c r="O114" s="184"/>
      <c r="P114" s="149"/>
      <c r="Q114" s="184"/>
      <c r="R114" s="149"/>
      <c r="S114" s="184"/>
      <c r="T114" s="149"/>
      <c r="U114" s="184"/>
      <c r="V114" s="150"/>
      <c r="W114" s="163"/>
      <c r="X114" s="150"/>
    </row>
    <row r="115" spans="1:24" ht="32.700000000000003" customHeight="1" thickTop="1" thickBot="1" x14ac:dyDescent="0.55000000000000004">
      <c r="A115" s="195"/>
      <c r="B115" s="196"/>
      <c r="C115" s="196"/>
      <c r="D115" s="109">
        <f>D114+1</f>
        <v>101</v>
      </c>
      <c r="E115" s="109" t="str">
        <f>HLOOKUP(MOD(D115,12),note_names,2,TRUE) &amp; (INT(D115/12)-1)</f>
        <v>F7</v>
      </c>
      <c r="F115" s="227" t="s">
        <v>242</v>
      </c>
      <c r="G115" s="230"/>
      <c r="H115" s="231"/>
      <c r="I115" s="204"/>
      <c r="J115" s="157"/>
      <c r="K115" s="157"/>
      <c r="L115" s="157"/>
      <c r="M115" s="205"/>
      <c r="N115" s="149"/>
      <c r="O115" s="184"/>
      <c r="P115" s="149"/>
      <c r="Q115" s="184"/>
      <c r="R115" s="149"/>
      <c r="S115" s="184"/>
      <c r="T115" s="149"/>
      <c r="U115" s="184"/>
      <c r="V115" s="150"/>
      <c r="W115" s="163"/>
      <c r="X115" s="150"/>
    </row>
    <row r="116" spans="1:24" ht="24.5" customHeight="1" thickBot="1" x14ac:dyDescent="0.55000000000000004">
      <c r="A116" s="197"/>
      <c r="B116" s="181"/>
      <c r="C116" s="182"/>
      <c r="D116" s="264">
        <f>D115+1</f>
        <v>102</v>
      </c>
      <c r="E116" s="264" t="str">
        <f>HLOOKUP(MOD(D116,12),note_names,2,TRUE) &amp; (INT(D116/12)-1)</f>
        <v>F#/Gb7</v>
      </c>
      <c r="F116" s="267" t="s">
        <v>237</v>
      </c>
      <c r="G116" s="287" t="s">
        <v>228</v>
      </c>
      <c r="H116" s="284" t="s">
        <v>213</v>
      </c>
      <c r="I116" s="242"/>
      <c r="J116" s="242"/>
      <c r="K116" s="242"/>
      <c r="L116" s="242"/>
      <c r="M116" s="243"/>
      <c r="N116" s="157"/>
      <c r="O116" s="157"/>
      <c r="P116" s="157"/>
      <c r="Q116" s="157"/>
      <c r="R116" s="157"/>
      <c r="S116" s="157"/>
      <c r="T116" s="157"/>
      <c r="U116" s="157"/>
      <c r="V116" s="158"/>
      <c r="W116" s="252"/>
      <c r="X116" s="247"/>
    </row>
    <row r="117" spans="1:24" ht="8.5" customHeight="1" thickTop="1" thickBot="1" x14ac:dyDescent="0.55000000000000004">
      <c r="A117" s="195"/>
      <c r="B117" s="186"/>
      <c r="C117" s="187"/>
      <c r="D117" s="264"/>
      <c r="E117" s="264"/>
      <c r="F117" s="267"/>
      <c r="G117" s="269"/>
      <c r="H117" s="270"/>
      <c r="I117" s="244"/>
      <c r="J117" s="244"/>
      <c r="K117" s="244"/>
      <c r="L117" s="244"/>
      <c r="M117" s="245"/>
      <c r="N117" s="209"/>
      <c r="O117" s="209"/>
      <c r="P117" s="209"/>
      <c r="Q117" s="209"/>
      <c r="R117" s="209"/>
      <c r="S117" s="209"/>
      <c r="T117" s="209"/>
      <c r="U117" s="209"/>
      <c r="V117" s="210"/>
      <c r="W117" s="252"/>
      <c r="X117" s="247"/>
    </row>
    <row r="118" spans="1:24" ht="32.700000000000003" customHeight="1" thickBot="1" x14ac:dyDescent="0.55000000000000004">
      <c r="A118" s="195"/>
      <c r="B118" s="196"/>
      <c r="C118" s="196"/>
      <c r="D118" s="109">
        <f>D116+1</f>
        <v>103</v>
      </c>
      <c r="E118" s="109" t="str">
        <f>HLOOKUP(MOD(D118,12),note_names,2,TRUE) &amp; (INT(D118/12)-1)</f>
        <v>G7</v>
      </c>
      <c r="F118" s="121" t="s">
        <v>238</v>
      </c>
      <c r="G118" s="225" t="s">
        <v>229</v>
      </c>
      <c r="H118" s="216" t="s">
        <v>209</v>
      </c>
      <c r="I118" s="254" t="s">
        <v>235</v>
      </c>
      <c r="J118" s="254"/>
      <c r="K118" s="254"/>
      <c r="L118" s="254"/>
      <c r="M118" s="255"/>
      <c r="N118" s="149"/>
      <c r="O118" s="149"/>
      <c r="P118" s="149"/>
      <c r="Q118" s="149"/>
      <c r="R118" s="149"/>
      <c r="S118" s="149"/>
      <c r="T118" s="149"/>
      <c r="U118" s="149"/>
      <c r="V118" s="150"/>
      <c r="W118" s="163"/>
      <c r="X118" s="150"/>
    </row>
    <row r="119" spans="1:24" ht="16.5" customHeight="1" thickBot="1" x14ac:dyDescent="0.55000000000000004">
      <c r="A119" s="197"/>
      <c r="B119" s="181"/>
      <c r="C119" s="182"/>
      <c r="D119" s="264">
        <f>D118+1</f>
        <v>104</v>
      </c>
      <c r="E119" s="264" t="str">
        <f>HLOOKUP(MOD(D119,12),note_names,2,TRUE) &amp; (INT(D119/12)-1)</f>
        <v>G#/Ab7</v>
      </c>
      <c r="F119" s="267" t="s">
        <v>239</v>
      </c>
      <c r="G119" s="269" t="s">
        <v>230</v>
      </c>
      <c r="H119" s="270" t="s">
        <v>212</v>
      </c>
      <c r="I119" s="254" t="s">
        <v>236</v>
      </c>
      <c r="J119" s="254"/>
      <c r="K119" s="254"/>
      <c r="L119" s="254"/>
      <c r="M119" s="255"/>
      <c r="N119" s="246"/>
      <c r="O119" s="246"/>
      <c r="P119" s="246"/>
      <c r="Q119" s="246"/>
      <c r="R119" s="246"/>
      <c r="S119" s="246"/>
      <c r="T119" s="246"/>
      <c r="U119" s="246"/>
      <c r="V119" s="247"/>
      <c r="W119" s="252"/>
      <c r="X119" s="247"/>
    </row>
    <row r="120" spans="1:24" ht="16.5" customHeight="1" thickTop="1" thickBot="1" x14ac:dyDescent="0.55000000000000004">
      <c r="A120" s="195"/>
      <c r="B120" s="186"/>
      <c r="C120" s="187"/>
      <c r="D120" s="264"/>
      <c r="E120" s="264"/>
      <c r="F120" s="267"/>
      <c r="G120" s="269"/>
      <c r="H120" s="270"/>
      <c r="I120" s="254"/>
      <c r="J120" s="254"/>
      <c r="K120" s="254"/>
      <c r="L120" s="254"/>
      <c r="M120" s="255"/>
      <c r="N120" s="246"/>
      <c r="O120" s="246"/>
      <c r="P120" s="246"/>
      <c r="Q120" s="246"/>
      <c r="R120" s="246"/>
      <c r="S120" s="246"/>
      <c r="T120" s="246"/>
      <c r="U120" s="246"/>
      <c r="V120" s="247"/>
      <c r="W120" s="252"/>
      <c r="X120" s="247"/>
    </row>
    <row r="121" spans="1:24" ht="32.700000000000003" customHeight="1" thickBot="1" x14ac:dyDescent="0.55000000000000004">
      <c r="A121" s="195"/>
      <c r="B121" s="196"/>
      <c r="C121" s="196"/>
      <c r="D121" s="109">
        <f>D119+1</f>
        <v>105</v>
      </c>
      <c r="E121" s="109" t="str">
        <f>HLOOKUP(MOD(D121,12),note_names,2,TRUE) &amp; (INT(D121/12)-1)</f>
        <v>A7</v>
      </c>
      <c r="F121" s="121" t="s">
        <v>240</v>
      </c>
      <c r="G121" s="225" t="s">
        <v>231</v>
      </c>
      <c r="H121" s="215" t="s">
        <v>211</v>
      </c>
      <c r="I121" s="254" t="s">
        <v>215</v>
      </c>
      <c r="J121" s="254"/>
      <c r="K121" s="254"/>
      <c r="L121" s="254"/>
      <c r="M121" s="255"/>
      <c r="N121" s="149"/>
      <c r="O121" s="149"/>
      <c r="P121" s="149"/>
      <c r="Q121" s="149"/>
      <c r="R121" s="149"/>
      <c r="S121" s="149"/>
      <c r="T121" s="149"/>
      <c r="U121" s="149"/>
      <c r="V121" s="150"/>
      <c r="W121" s="163"/>
      <c r="X121" s="150"/>
    </row>
    <row r="122" spans="1:24" ht="8.5" customHeight="1" thickBot="1" x14ac:dyDescent="0.55000000000000004">
      <c r="A122" s="197"/>
      <c r="B122" s="181"/>
      <c r="C122" s="182"/>
      <c r="D122" s="264">
        <f>D121+1</f>
        <v>106</v>
      </c>
      <c r="E122" s="264" t="str">
        <f>HLOOKUP(MOD(D122,12),note_names,2,TRUE) &amp; (INT(D122/12)-1)</f>
        <v>A#/Bb7</v>
      </c>
      <c r="F122" s="267" t="s">
        <v>241</v>
      </c>
      <c r="G122" s="269" t="s">
        <v>232</v>
      </c>
      <c r="H122" s="283" t="s">
        <v>210</v>
      </c>
      <c r="I122" s="275"/>
      <c r="J122" s="275"/>
      <c r="K122" s="275"/>
      <c r="L122" s="275"/>
      <c r="M122" s="276"/>
      <c r="N122" s="246"/>
      <c r="O122" s="246"/>
      <c r="P122" s="246"/>
      <c r="Q122" s="246"/>
      <c r="R122" s="246"/>
      <c r="S122" s="246"/>
      <c r="T122" s="246"/>
      <c r="U122" s="246"/>
      <c r="V122" s="247"/>
      <c r="W122" s="252"/>
      <c r="X122" s="247"/>
    </row>
    <row r="123" spans="1:24" ht="24.5" customHeight="1" thickTop="1" thickBot="1" x14ac:dyDescent="0.55000000000000004">
      <c r="A123" s="195"/>
      <c r="B123" s="186"/>
      <c r="C123" s="187"/>
      <c r="D123" s="264"/>
      <c r="E123" s="264"/>
      <c r="F123" s="282"/>
      <c r="G123" s="269"/>
      <c r="H123" s="284"/>
      <c r="I123" s="277"/>
      <c r="J123" s="277"/>
      <c r="K123" s="277"/>
      <c r="L123" s="277"/>
      <c r="M123" s="278"/>
      <c r="N123" s="246"/>
      <c r="O123" s="246"/>
      <c r="P123" s="246"/>
      <c r="Q123" s="246"/>
      <c r="R123" s="246"/>
      <c r="S123" s="246"/>
      <c r="T123" s="246"/>
      <c r="U123" s="246"/>
      <c r="V123" s="247"/>
      <c r="W123" s="252"/>
      <c r="X123" s="247"/>
    </row>
    <row r="124" spans="1:24" ht="32.700000000000003" customHeight="1" thickBot="1" x14ac:dyDescent="0.55000000000000004">
      <c r="A124" s="195"/>
      <c r="B124" s="196"/>
      <c r="C124" s="196"/>
      <c r="D124" s="113">
        <f>+D122+1</f>
        <v>107</v>
      </c>
      <c r="E124" s="113" t="str">
        <f>HLOOKUP(MOD(D124,12),note_names,2,TRUE) &amp; (INT(D124/12)-1)</f>
        <v>B7</v>
      </c>
      <c r="F124" s="226" t="s">
        <v>214</v>
      </c>
      <c r="G124" s="219"/>
      <c r="H124" s="217"/>
      <c r="I124" s="211"/>
      <c r="J124" s="169"/>
      <c r="K124" s="169"/>
      <c r="L124" s="169"/>
      <c r="M124" s="212"/>
      <c r="N124" s="157"/>
      <c r="O124" s="205"/>
      <c r="P124" s="157"/>
      <c r="Q124" s="205"/>
      <c r="R124" s="157"/>
      <c r="S124" s="205"/>
      <c r="T124" s="157"/>
      <c r="U124" s="205"/>
      <c r="V124" s="158"/>
      <c r="W124" s="166"/>
      <c r="X124" s="158"/>
    </row>
    <row r="125" spans="1:24" ht="32.700000000000003" customHeight="1" thickBot="1" x14ac:dyDescent="0.55000000000000004">
      <c r="A125" s="206"/>
      <c r="B125" s="207"/>
      <c r="C125" s="207"/>
      <c r="D125" s="114">
        <f>D124+1</f>
        <v>108</v>
      </c>
      <c r="E125" s="114" t="str">
        <f>HLOOKUP(MOD(D125,12),note_names,2,TRUE) &amp; (INT(D125/12)-1)</f>
        <v>C8</v>
      </c>
      <c r="F125" s="213" t="s">
        <v>234</v>
      </c>
      <c r="G125" s="214"/>
      <c r="H125" s="218"/>
      <c r="I125" s="232" t="s">
        <v>233</v>
      </c>
      <c r="J125" s="232"/>
      <c r="K125" s="232"/>
      <c r="L125" s="232"/>
      <c r="M125" s="233"/>
      <c r="N125" s="159"/>
      <c r="O125" s="208"/>
      <c r="P125" s="159"/>
      <c r="Q125" s="208"/>
      <c r="R125" s="159"/>
      <c r="S125" s="208"/>
      <c r="T125" s="159"/>
      <c r="U125" s="208"/>
      <c r="V125" s="160"/>
      <c r="W125" s="167"/>
      <c r="X125" s="160"/>
    </row>
  </sheetData>
  <mergeCells count="721">
    <mergeCell ref="I109:I110"/>
    <mergeCell ref="F112:F113"/>
    <mergeCell ref="G112:G113"/>
    <mergeCell ref="H112:H113"/>
    <mergeCell ref="I112:I113"/>
    <mergeCell ref="F116:F117"/>
    <mergeCell ref="G116:G117"/>
    <mergeCell ref="H116:H117"/>
    <mergeCell ref="I75:P76"/>
    <mergeCell ref="F99:F100"/>
    <mergeCell ref="G99:G100"/>
    <mergeCell ref="H99:H100"/>
    <mergeCell ref="I99:I100"/>
    <mergeCell ref="F102:F103"/>
    <mergeCell ref="G102:G103"/>
    <mergeCell ref="H102:H103"/>
    <mergeCell ref="I102:I103"/>
    <mergeCell ref="F85:F86"/>
    <mergeCell ref="G85:G86"/>
    <mergeCell ref="H85:H86"/>
    <mergeCell ref="I85:I86"/>
    <mergeCell ref="F88:F89"/>
    <mergeCell ref="G88:G89"/>
    <mergeCell ref="H88:H89"/>
    <mergeCell ref="F78:F79"/>
    <mergeCell ref="G78:G79"/>
    <mergeCell ref="H78:H79"/>
    <mergeCell ref="F65:F66"/>
    <mergeCell ref="G65:G66"/>
    <mergeCell ref="H65:H66"/>
    <mergeCell ref="I65:I66"/>
    <mergeCell ref="F68:F69"/>
    <mergeCell ref="G68:G69"/>
    <mergeCell ref="H68:H69"/>
    <mergeCell ref="I68:I69"/>
    <mergeCell ref="F71:F72"/>
    <mergeCell ref="G71:G72"/>
    <mergeCell ref="H71:H72"/>
    <mergeCell ref="I71:I72"/>
    <mergeCell ref="I31:I32"/>
    <mergeCell ref="F34:F35"/>
    <mergeCell ref="G34:G35"/>
    <mergeCell ref="H34:H35"/>
    <mergeCell ref="I34:I35"/>
    <mergeCell ref="I14:I15"/>
    <mergeCell ref="F17:F18"/>
    <mergeCell ref="G17:G18"/>
    <mergeCell ref="H17:H18"/>
    <mergeCell ref="I17:I18"/>
    <mergeCell ref="F20:F21"/>
    <mergeCell ref="G20:G21"/>
    <mergeCell ref="H20:H21"/>
    <mergeCell ref="I20:I21"/>
    <mergeCell ref="I27:I28"/>
    <mergeCell ref="F24:F25"/>
    <mergeCell ref="G24:G25"/>
    <mergeCell ref="H24:H25"/>
    <mergeCell ref="I24:I25"/>
    <mergeCell ref="G27:G28"/>
    <mergeCell ref="H27:H28"/>
    <mergeCell ref="E116:E117"/>
    <mergeCell ref="E71:E72"/>
    <mergeCell ref="E75:E76"/>
    <mergeCell ref="E78:E79"/>
    <mergeCell ref="E82:E83"/>
    <mergeCell ref="E85:E86"/>
    <mergeCell ref="E88:E89"/>
    <mergeCell ref="E51:E52"/>
    <mergeCell ref="E54:E55"/>
    <mergeCell ref="E58:E59"/>
    <mergeCell ref="E61:E62"/>
    <mergeCell ref="E65:E66"/>
    <mergeCell ref="E68:E69"/>
    <mergeCell ref="H41:H42"/>
    <mergeCell ref="F44:F45"/>
    <mergeCell ref="G44:G45"/>
    <mergeCell ref="E31:E32"/>
    <mergeCell ref="E34:E35"/>
    <mergeCell ref="E37:E38"/>
    <mergeCell ref="E41:E42"/>
    <mergeCell ref="E44:E45"/>
    <mergeCell ref="E48:E49"/>
    <mergeCell ref="F31:F32"/>
    <mergeCell ref="G31:G32"/>
    <mergeCell ref="H31:H32"/>
    <mergeCell ref="F37:F38"/>
    <mergeCell ref="G37:G38"/>
    <mergeCell ref="H37:H38"/>
    <mergeCell ref="I121:M121"/>
    <mergeCell ref="I122:M123"/>
    <mergeCell ref="A1:C1"/>
    <mergeCell ref="D3:D4"/>
    <mergeCell ref="D7:D8"/>
    <mergeCell ref="D10:D11"/>
    <mergeCell ref="D14:D15"/>
    <mergeCell ref="D17:D18"/>
    <mergeCell ref="F122:F123"/>
    <mergeCell ref="G122:G123"/>
    <mergeCell ref="H122:H123"/>
    <mergeCell ref="F95:F96"/>
    <mergeCell ref="G95:G96"/>
    <mergeCell ref="H95:H96"/>
    <mergeCell ref="F92:F93"/>
    <mergeCell ref="G92:G93"/>
    <mergeCell ref="H92:H93"/>
    <mergeCell ref="F82:F83"/>
    <mergeCell ref="G82:G83"/>
    <mergeCell ref="H82:H83"/>
    <mergeCell ref="F58:F59"/>
    <mergeCell ref="G58:G59"/>
    <mergeCell ref="H58:H59"/>
    <mergeCell ref="F27:F28"/>
    <mergeCell ref="F61:F62"/>
    <mergeCell ref="G61:G62"/>
    <mergeCell ref="H61:H62"/>
    <mergeCell ref="I61:I62"/>
    <mergeCell ref="F75:F76"/>
    <mergeCell ref="G75:G76"/>
    <mergeCell ref="H75:H76"/>
    <mergeCell ref="F48:F49"/>
    <mergeCell ref="G48:G49"/>
    <mergeCell ref="H48:H49"/>
    <mergeCell ref="I48:I49"/>
    <mergeCell ref="F51:F52"/>
    <mergeCell ref="G51:G52"/>
    <mergeCell ref="H51:H52"/>
    <mergeCell ref="F54:F55"/>
    <mergeCell ref="G54:G55"/>
    <mergeCell ref="H54:H55"/>
    <mergeCell ref="I37:I38"/>
    <mergeCell ref="F41:F42"/>
    <mergeCell ref="G41:G42"/>
    <mergeCell ref="I41:I42"/>
    <mergeCell ref="H44:H45"/>
    <mergeCell ref="I44:I45"/>
    <mergeCell ref="D92:D93"/>
    <mergeCell ref="D95:D96"/>
    <mergeCell ref="E92:E93"/>
    <mergeCell ref="E95:E96"/>
    <mergeCell ref="D82:D83"/>
    <mergeCell ref="D85:D86"/>
    <mergeCell ref="D88:D89"/>
    <mergeCell ref="D75:D76"/>
    <mergeCell ref="D78:D79"/>
    <mergeCell ref="D65:D66"/>
    <mergeCell ref="D68:D69"/>
    <mergeCell ref="D71:D72"/>
    <mergeCell ref="D58:D59"/>
    <mergeCell ref="D61:D62"/>
    <mergeCell ref="D48:D49"/>
    <mergeCell ref="D51:D52"/>
    <mergeCell ref="D54:D55"/>
    <mergeCell ref="D41:D42"/>
    <mergeCell ref="D116:D117"/>
    <mergeCell ref="D119:D120"/>
    <mergeCell ref="D122:D123"/>
    <mergeCell ref="D109:D110"/>
    <mergeCell ref="D112:D113"/>
    <mergeCell ref="F109:F110"/>
    <mergeCell ref="G109:G110"/>
    <mergeCell ref="H109:H110"/>
    <mergeCell ref="D99:D100"/>
    <mergeCell ref="D102:D103"/>
    <mergeCell ref="D105:D106"/>
    <mergeCell ref="F119:F120"/>
    <mergeCell ref="G119:G120"/>
    <mergeCell ref="H119:H120"/>
    <mergeCell ref="F105:F106"/>
    <mergeCell ref="G105:G106"/>
    <mergeCell ref="H105:H106"/>
    <mergeCell ref="E119:E120"/>
    <mergeCell ref="E122:E123"/>
    <mergeCell ref="E99:E100"/>
    <mergeCell ref="E102:E103"/>
    <mergeCell ref="E105:E106"/>
    <mergeCell ref="E109:E110"/>
    <mergeCell ref="E112:E113"/>
    <mergeCell ref="D44:D45"/>
    <mergeCell ref="D31:D32"/>
    <mergeCell ref="D34:D35"/>
    <mergeCell ref="D37:D38"/>
    <mergeCell ref="D24:D25"/>
    <mergeCell ref="D27:D28"/>
    <mergeCell ref="E24:E25"/>
    <mergeCell ref="E27:E28"/>
    <mergeCell ref="D20:D21"/>
    <mergeCell ref="E14:E15"/>
    <mergeCell ref="E17:E18"/>
    <mergeCell ref="E20:E21"/>
    <mergeCell ref="E7:E8"/>
    <mergeCell ref="E10:E11"/>
    <mergeCell ref="E3:E4"/>
    <mergeCell ref="F14:F15"/>
    <mergeCell ref="G14:G15"/>
    <mergeCell ref="H14:H15"/>
    <mergeCell ref="J3:J4"/>
    <mergeCell ref="J7:J8"/>
    <mergeCell ref="J10:J11"/>
    <mergeCell ref="J14:J15"/>
    <mergeCell ref="F10:F11"/>
    <mergeCell ref="G10:G11"/>
    <mergeCell ref="H10:H11"/>
    <mergeCell ref="I10:I11"/>
    <mergeCell ref="F3:F4"/>
    <mergeCell ref="G3:G4"/>
    <mergeCell ref="H3:H4"/>
    <mergeCell ref="I3:I4"/>
    <mergeCell ref="F7:F8"/>
    <mergeCell ref="G7:G8"/>
    <mergeCell ref="H7:H8"/>
    <mergeCell ref="I7:I8"/>
    <mergeCell ref="J17:J18"/>
    <mergeCell ref="J20:J21"/>
    <mergeCell ref="J24:J25"/>
    <mergeCell ref="J27:J28"/>
    <mergeCell ref="J31:J32"/>
    <mergeCell ref="J34:J35"/>
    <mergeCell ref="J37:J38"/>
    <mergeCell ref="J41:J42"/>
    <mergeCell ref="J44:J45"/>
    <mergeCell ref="J95:J96"/>
    <mergeCell ref="J99:J100"/>
    <mergeCell ref="J102:J103"/>
    <mergeCell ref="J105:J106"/>
    <mergeCell ref="I90:J90"/>
    <mergeCell ref="J48:J49"/>
    <mergeCell ref="J51:J52"/>
    <mergeCell ref="J54:J55"/>
    <mergeCell ref="J58:J59"/>
    <mergeCell ref="J61:J62"/>
    <mergeCell ref="J65:J66"/>
    <mergeCell ref="J68:J69"/>
    <mergeCell ref="J71:J72"/>
    <mergeCell ref="I58:I59"/>
    <mergeCell ref="I82:I83"/>
    <mergeCell ref="I105:I106"/>
    <mergeCell ref="I51:I52"/>
    <mergeCell ref="I54:I55"/>
    <mergeCell ref="I95:I96"/>
    <mergeCell ref="I92:I93"/>
    <mergeCell ref="J109:J110"/>
    <mergeCell ref="J112:J113"/>
    <mergeCell ref="K3:K4"/>
    <mergeCell ref="L3:L4"/>
    <mergeCell ref="K7:K8"/>
    <mergeCell ref="L7:L8"/>
    <mergeCell ref="K10:K11"/>
    <mergeCell ref="L10:L11"/>
    <mergeCell ref="K14:K15"/>
    <mergeCell ref="L14:L15"/>
    <mergeCell ref="K17:K18"/>
    <mergeCell ref="L17:L18"/>
    <mergeCell ref="K20:K21"/>
    <mergeCell ref="L20:L21"/>
    <mergeCell ref="K24:K25"/>
    <mergeCell ref="L24:L25"/>
    <mergeCell ref="K27:K28"/>
    <mergeCell ref="L27:L28"/>
    <mergeCell ref="K31:K32"/>
    <mergeCell ref="L31:L32"/>
    <mergeCell ref="K34:K35"/>
    <mergeCell ref="J82:J83"/>
    <mergeCell ref="J85:J86"/>
    <mergeCell ref="J92:J93"/>
    <mergeCell ref="K61:K62"/>
    <mergeCell ref="L61:L62"/>
    <mergeCell ref="K65:K66"/>
    <mergeCell ref="L65:L66"/>
    <mergeCell ref="L34:L35"/>
    <mergeCell ref="K37:K38"/>
    <mergeCell ref="L37:L38"/>
    <mergeCell ref="K41:K42"/>
    <mergeCell ref="L41:L42"/>
    <mergeCell ref="K44:K45"/>
    <mergeCell ref="L44:L45"/>
    <mergeCell ref="K48:K49"/>
    <mergeCell ref="L48:L49"/>
    <mergeCell ref="K105:K106"/>
    <mergeCell ref="L105:L106"/>
    <mergeCell ref="K109:K110"/>
    <mergeCell ref="L109:L110"/>
    <mergeCell ref="K112:K113"/>
    <mergeCell ref="L112:L113"/>
    <mergeCell ref="K85:K86"/>
    <mergeCell ref="L85:L86"/>
    <mergeCell ref="K92:K93"/>
    <mergeCell ref="L92:L93"/>
    <mergeCell ref="K95:K96"/>
    <mergeCell ref="L95:L96"/>
    <mergeCell ref="K99:K100"/>
    <mergeCell ref="L99:L100"/>
    <mergeCell ref="K90:L90"/>
    <mergeCell ref="M14:M15"/>
    <mergeCell ref="N14:N15"/>
    <mergeCell ref="O14:O15"/>
    <mergeCell ref="P14:P15"/>
    <mergeCell ref="M17:M18"/>
    <mergeCell ref="N17:N18"/>
    <mergeCell ref="O17:O18"/>
    <mergeCell ref="P17:P18"/>
    <mergeCell ref="K102:K103"/>
    <mergeCell ref="L102:L103"/>
    <mergeCell ref="K68:K69"/>
    <mergeCell ref="L68:L69"/>
    <mergeCell ref="K71:K72"/>
    <mergeCell ref="L71:L72"/>
    <mergeCell ref="K82:K83"/>
    <mergeCell ref="L82:L83"/>
    <mergeCell ref="K51:K52"/>
    <mergeCell ref="L51:L52"/>
    <mergeCell ref="K54:K55"/>
    <mergeCell ref="L54:L55"/>
    <mergeCell ref="M20:M21"/>
    <mergeCell ref="N20:N21"/>
    <mergeCell ref="K58:K59"/>
    <mergeCell ref="L58:L59"/>
    <mergeCell ref="M3:M4"/>
    <mergeCell ref="N3:N4"/>
    <mergeCell ref="O3:O4"/>
    <mergeCell ref="P3:P4"/>
    <mergeCell ref="M7:M8"/>
    <mergeCell ref="N7:N8"/>
    <mergeCell ref="O7:O8"/>
    <mergeCell ref="P7:P8"/>
    <mergeCell ref="M10:M11"/>
    <mergeCell ref="N10:N11"/>
    <mergeCell ref="O10:O11"/>
    <mergeCell ref="P10:P11"/>
    <mergeCell ref="O20:O21"/>
    <mergeCell ref="P20:P21"/>
    <mergeCell ref="M24:M25"/>
    <mergeCell ref="N24:N25"/>
    <mergeCell ref="O24:O25"/>
    <mergeCell ref="P24:P25"/>
    <mergeCell ref="M27:M28"/>
    <mergeCell ref="N27:N28"/>
    <mergeCell ref="O27:O28"/>
    <mergeCell ref="P27:P28"/>
    <mergeCell ref="M31:M32"/>
    <mergeCell ref="N31:N32"/>
    <mergeCell ref="O31:O32"/>
    <mergeCell ref="P31:P32"/>
    <mergeCell ref="M34:M35"/>
    <mergeCell ref="N34:N35"/>
    <mergeCell ref="O34:O35"/>
    <mergeCell ref="P34:P35"/>
    <mergeCell ref="M37:M38"/>
    <mergeCell ref="N37:N38"/>
    <mergeCell ref="O37:O38"/>
    <mergeCell ref="P37:P38"/>
    <mergeCell ref="M41:M42"/>
    <mergeCell ref="N41:N42"/>
    <mergeCell ref="O41:O42"/>
    <mergeCell ref="P41:P42"/>
    <mergeCell ref="M44:M45"/>
    <mergeCell ref="N44:N45"/>
    <mergeCell ref="O44:O45"/>
    <mergeCell ref="P44:P45"/>
    <mergeCell ref="M48:M49"/>
    <mergeCell ref="N48:N49"/>
    <mergeCell ref="O48:O49"/>
    <mergeCell ref="P48:P49"/>
    <mergeCell ref="M51:M52"/>
    <mergeCell ref="N51:N52"/>
    <mergeCell ref="O51:O52"/>
    <mergeCell ref="P51:P52"/>
    <mergeCell ref="M54:M55"/>
    <mergeCell ref="N54:N55"/>
    <mergeCell ref="O54:O55"/>
    <mergeCell ref="P54:P55"/>
    <mergeCell ref="M58:M59"/>
    <mergeCell ref="N58:N59"/>
    <mergeCell ref="O58:O59"/>
    <mergeCell ref="P58:P59"/>
    <mergeCell ref="M61:M62"/>
    <mergeCell ref="N61:N62"/>
    <mergeCell ref="O61:O62"/>
    <mergeCell ref="P61:P62"/>
    <mergeCell ref="M65:M66"/>
    <mergeCell ref="N65:N66"/>
    <mergeCell ref="O65:O66"/>
    <mergeCell ref="P65:P66"/>
    <mergeCell ref="M68:M69"/>
    <mergeCell ref="N68:N69"/>
    <mergeCell ref="O68:O69"/>
    <mergeCell ref="P68:P69"/>
    <mergeCell ref="M82:M83"/>
    <mergeCell ref="N82:N83"/>
    <mergeCell ref="O82:O83"/>
    <mergeCell ref="P82:P83"/>
    <mergeCell ref="M85:M86"/>
    <mergeCell ref="N85:N86"/>
    <mergeCell ref="O85:O86"/>
    <mergeCell ref="P85:P86"/>
    <mergeCell ref="M71:M72"/>
    <mergeCell ref="N71:N72"/>
    <mergeCell ref="O71:O72"/>
    <mergeCell ref="P71:P72"/>
    <mergeCell ref="I78:P79"/>
    <mergeCell ref="I80:P80"/>
    <mergeCell ref="I81:P81"/>
    <mergeCell ref="M92:M93"/>
    <mergeCell ref="N92:N93"/>
    <mergeCell ref="O92:O93"/>
    <mergeCell ref="P92:P93"/>
    <mergeCell ref="M95:M96"/>
    <mergeCell ref="N95:N96"/>
    <mergeCell ref="O95:O96"/>
    <mergeCell ref="P95:P96"/>
    <mergeCell ref="M99:M100"/>
    <mergeCell ref="N99:N100"/>
    <mergeCell ref="O99:O100"/>
    <mergeCell ref="P99:P100"/>
    <mergeCell ref="M102:M103"/>
    <mergeCell ref="N102:N103"/>
    <mergeCell ref="O102:O103"/>
    <mergeCell ref="P102:P103"/>
    <mergeCell ref="M105:M106"/>
    <mergeCell ref="N105:N106"/>
    <mergeCell ref="O105:O106"/>
    <mergeCell ref="P105:P106"/>
    <mergeCell ref="M109:M110"/>
    <mergeCell ref="N109:N110"/>
    <mergeCell ref="O109:O110"/>
    <mergeCell ref="P109:P110"/>
    <mergeCell ref="M112:M113"/>
    <mergeCell ref="N112:N113"/>
    <mergeCell ref="O112:O113"/>
    <mergeCell ref="P112:P113"/>
    <mergeCell ref="N119:N120"/>
    <mergeCell ref="O119:O120"/>
    <mergeCell ref="P119:P120"/>
    <mergeCell ref="I118:M118"/>
    <mergeCell ref="I119:M120"/>
    <mergeCell ref="N122:N123"/>
    <mergeCell ref="O122:O123"/>
    <mergeCell ref="P122:P123"/>
    <mergeCell ref="Q3:Q4"/>
    <mergeCell ref="R3:R4"/>
    <mergeCell ref="S3:S4"/>
    <mergeCell ref="T3:T4"/>
    <mergeCell ref="U3:U4"/>
    <mergeCell ref="Q10:Q11"/>
    <mergeCell ref="R10:R11"/>
    <mergeCell ref="S10:S11"/>
    <mergeCell ref="T10:T11"/>
    <mergeCell ref="U10:U11"/>
    <mergeCell ref="Q17:Q18"/>
    <mergeCell ref="R17:R18"/>
    <mergeCell ref="S17:S18"/>
    <mergeCell ref="T17:T18"/>
    <mergeCell ref="U17:U18"/>
    <mergeCell ref="Q24:Q25"/>
    <mergeCell ref="R24:R25"/>
    <mergeCell ref="S24:S25"/>
    <mergeCell ref="T24:T25"/>
    <mergeCell ref="U24:U25"/>
    <mergeCell ref="Q31:Q32"/>
    <mergeCell ref="V3:V4"/>
    <mergeCell ref="W3:W4"/>
    <mergeCell ref="X3:X4"/>
    <mergeCell ref="Q7:Q8"/>
    <mergeCell ref="R7:R8"/>
    <mergeCell ref="S7:S8"/>
    <mergeCell ref="T7:T8"/>
    <mergeCell ref="U7:U8"/>
    <mergeCell ref="V7:V8"/>
    <mergeCell ref="W7:W8"/>
    <mergeCell ref="X7:X8"/>
    <mergeCell ref="V10:V11"/>
    <mergeCell ref="W10:W11"/>
    <mergeCell ref="X10:X11"/>
    <mergeCell ref="Q14:Q15"/>
    <mergeCell ref="R14:R15"/>
    <mergeCell ref="S14:S15"/>
    <mergeCell ref="T14:T15"/>
    <mergeCell ref="U14:U15"/>
    <mergeCell ref="V14:V15"/>
    <mergeCell ref="W14:W15"/>
    <mergeCell ref="X14:X15"/>
    <mergeCell ref="V17:V18"/>
    <mergeCell ref="W17:W18"/>
    <mergeCell ref="X17:X18"/>
    <mergeCell ref="Q20:Q21"/>
    <mergeCell ref="R20:R21"/>
    <mergeCell ref="S20:S21"/>
    <mergeCell ref="T20:T21"/>
    <mergeCell ref="U20:U21"/>
    <mergeCell ref="V20:V21"/>
    <mergeCell ref="W20:W21"/>
    <mergeCell ref="X20:X21"/>
    <mergeCell ref="V24:V25"/>
    <mergeCell ref="W24:W25"/>
    <mergeCell ref="X24:X25"/>
    <mergeCell ref="Q27:Q28"/>
    <mergeCell ref="R27:R28"/>
    <mergeCell ref="S27:S28"/>
    <mergeCell ref="T27:T28"/>
    <mergeCell ref="U27:U28"/>
    <mergeCell ref="V27:V28"/>
    <mergeCell ref="W27:W28"/>
    <mergeCell ref="X27:X28"/>
    <mergeCell ref="R31:R32"/>
    <mergeCell ref="S31:S32"/>
    <mergeCell ref="T31:T32"/>
    <mergeCell ref="U31:U32"/>
    <mergeCell ref="V31:V32"/>
    <mergeCell ref="W31:W32"/>
    <mergeCell ref="X31:X32"/>
    <mergeCell ref="Q34:Q35"/>
    <mergeCell ref="R34:R35"/>
    <mergeCell ref="S34:S35"/>
    <mergeCell ref="T34:T35"/>
    <mergeCell ref="U34:U35"/>
    <mergeCell ref="V34:V35"/>
    <mergeCell ref="W34:W35"/>
    <mergeCell ref="X34:X35"/>
    <mergeCell ref="Q37:Q38"/>
    <mergeCell ref="R37:R38"/>
    <mergeCell ref="S37:S38"/>
    <mergeCell ref="T37:T38"/>
    <mergeCell ref="U37:U38"/>
    <mergeCell ref="V37:V38"/>
    <mergeCell ref="W37:W38"/>
    <mergeCell ref="X37:X38"/>
    <mergeCell ref="Q41:Q42"/>
    <mergeCell ref="R41:R42"/>
    <mergeCell ref="S41:S42"/>
    <mergeCell ref="T41:T42"/>
    <mergeCell ref="U41:U42"/>
    <mergeCell ref="V41:V42"/>
    <mergeCell ref="W41:W42"/>
    <mergeCell ref="X41:X42"/>
    <mergeCell ref="Q44:Q45"/>
    <mergeCell ref="R44:R45"/>
    <mergeCell ref="S44:S45"/>
    <mergeCell ref="T44:T45"/>
    <mergeCell ref="U44:U45"/>
    <mergeCell ref="V44:V45"/>
    <mergeCell ref="W44:W45"/>
    <mergeCell ref="X44:X45"/>
    <mergeCell ref="Q48:Q49"/>
    <mergeCell ref="R48:R49"/>
    <mergeCell ref="S48:S49"/>
    <mergeCell ref="T48:T49"/>
    <mergeCell ref="U48:U49"/>
    <mergeCell ref="V48:V49"/>
    <mergeCell ref="W48:W49"/>
    <mergeCell ref="X48:X49"/>
    <mergeCell ref="Q51:Q52"/>
    <mergeCell ref="R51:R52"/>
    <mergeCell ref="S51:S52"/>
    <mergeCell ref="T51:T52"/>
    <mergeCell ref="U51:U52"/>
    <mergeCell ref="V51:V52"/>
    <mergeCell ref="W51:W52"/>
    <mergeCell ref="X51:X52"/>
    <mergeCell ref="Q54:Q55"/>
    <mergeCell ref="R54:R55"/>
    <mergeCell ref="S54:S55"/>
    <mergeCell ref="T54:T55"/>
    <mergeCell ref="U54:U55"/>
    <mergeCell ref="V54:V55"/>
    <mergeCell ref="W54:W55"/>
    <mergeCell ref="X54:X55"/>
    <mergeCell ref="Q58:Q59"/>
    <mergeCell ref="R58:R59"/>
    <mergeCell ref="S58:S59"/>
    <mergeCell ref="T58:T59"/>
    <mergeCell ref="U58:U59"/>
    <mergeCell ref="V58:V59"/>
    <mergeCell ref="W58:W59"/>
    <mergeCell ref="X58:X59"/>
    <mergeCell ref="Q61:Q62"/>
    <mergeCell ref="R61:R62"/>
    <mergeCell ref="S61:S62"/>
    <mergeCell ref="T61:T62"/>
    <mergeCell ref="U61:U62"/>
    <mergeCell ref="V61:V62"/>
    <mergeCell ref="W61:W62"/>
    <mergeCell ref="X61:X62"/>
    <mergeCell ref="Q65:Q66"/>
    <mergeCell ref="R65:R66"/>
    <mergeCell ref="S65:S66"/>
    <mergeCell ref="T65:T66"/>
    <mergeCell ref="U65:U66"/>
    <mergeCell ref="V65:V66"/>
    <mergeCell ref="W65:W66"/>
    <mergeCell ref="X65:X66"/>
    <mergeCell ref="Q68:Q69"/>
    <mergeCell ref="R68:R69"/>
    <mergeCell ref="S68:S69"/>
    <mergeCell ref="T68:T69"/>
    <mergeCell ref="U68:U69"/>
    <mergeCell ref="V68:V69"/>
    <mergeCell ref="W68:W69"/>
    <mergeCell ref="X68:X69"/>
    <mergeCell ref="Q71:Q72"/>
    <mergeCell ref="R71:R72"/>
    <mergeCell ref="S71:S72"/>
    <mergeCell ref="T71:T72"/>
    <mergeCell ref="U71:U72"/>
    <mergeCell ref="V71:V72"/>
    <mergeCell ref="W71:W72"/>
    <mergeCell ref="X71:X72"/>
    <mergeCell ref="Q75:Q76"/>
    <mergeCell ref="R75:R76"/>
    <mergeCell ref="S75:S76"/>
    <mergeCell ref="T75:T76"/>
    <mergeCell ref="U75:U76"/>
    <mergeCell ref="V75:V76"/>
    <mergeCell ref="W75:W76"/>
    <mergeCell ref="X75:X76"/>
    <mergeCell ref="Q78:Q79"/>
    <mergeCell ref="R78:R79"/>
    <mergeCell ref="S78:S79"/>
    <mergeCell ref="T78:T79"/>
    <mergeCell ref="U78:U79"/>
    <mergeCell ref="V78:V79"/>
    <mergeCell ref="W78:W79"/>
    <mergeCell ref="X78:X79"/>
    <mergeCell ref="Q82:Q83"/>
    <mergeCell ref="R82:R83"/>
    <mergeCell ref="S82:S83"/>
    <mergeCell ref="T82:T83"/>
    <mergeCell ref="U82:U83"/>
    <mergeCell ref="V82:V83"/>
    <mergeCell ref="W82:W83"/>
    <mergeCell ref="X82:X83"/>
    <mergeCell ref="Q85:Q86"/>
    <mergeCell ref="R85:R86"/>
    <mergeCell ref="S85:S86"/>
    <mergeCell ref="T85:T86"/>
    <mergeCell ref="U85:U86"/>
    <mergeCell ref="V85:V86"/>
    <mergeCell ref="W85:W86"/>
    <mergeCell ref="X85:X86"/>
    <mergeCell ref="W88:W89"/>
    <mergeCell ref="X88:X89"/>
    <mergeCell ref="Q102:Q103"/>
    <mergeCell ref="R102:R103"/>
    <mergeCell ref="S102:S103"/>
    <mergeCell ref="T102:T103"/>
    <mergeCell ref="U102:U103"/>
    <mergeCell ref="V102:V103"/>
    <mergeCell ref="W102:W103"/>
    <mergeCell ref="X102:X103"/>
    <mergeCell ref="Q92:Q93"/>
    <mergeCell ref="R92:R93"/>
    <mergeCell ref="S92:S93"/>
    <mergeCell ref="T92:T93"/>
    <mergeCell ref="U92:U93"/>
    <mergeCell ref="V92:V93"/>
    <mergeCell ref="W92:W93"/>
    <mergeCell ref="X92:X93"/>
    <mergeCell ref="Q95:Q96"/>
    <mergeCell ref="R95:R96"/>
    <mergeCell ref="S95:S96"/>
    <mergeCell ref="T95:T96"/>
    <mergeCell ref="U95:U96"/>
    <mergeCell ref="V95:V96"/>
    <mergeCell ref="W95:W96"/>
    <mergeCell ref="X95:X96"/>
    <mergeCell ref="R109:R110"/>
    <mergeCell ref="S109:S110"/>
    <mergeCell ref="T109:T110"/>
    <mergeCell ref="U109:U110"/>
    <mergeCell ref="V109:V110"/>
    <mergeCell ref="W109:W110"/>
    <mergeCell ref="X109:X110"/>
    <mergeCell ref="V99:V100"/>
    <mergeCell ref="W99:W100"/>
    <mergeCell ref="X99:X100"/>
    <mergeCell ref="U99:U100"/>
    <mergeCell ref="W119:W120"/>
    <mergeCell ref="X119:X120"/>
    <mergeCell ref="Q122:Q123"/>
    <mergeCell ref="R122:R123"/>
    <mergeCell ref="S122:S123"/>
    <mergeCell ref="T122:T123"/>
    <mergeCell ref="U122:U123"/>
    <mergeCell ref="V122:V123"/>
    <mergeCell ref="W122:W123"/>
    <mergeCell ref="X122:X123"/>
    <mergeCell ref="W112:W113"/>
    <mergeCell ref="X112:X113"/>
    <mergeCell ref="W116:W117"/>
    <mergeCell ref="X116:X117"/>
    <mergeCell ref="Q105:Q106"/>
    <mergeCell ref="R105:R106"/>
    <mergeCell ref="S105:S106"/>
    <mergeCell ref="T105:T106"/>
    <mergeCell ref="U105:U106"/>
    <mergeCell ref="V105:V106"/>
    <mergeCell ref="W105:W106"/>
    <mergeCell ref="X105:X106"/>
    <mergeCell ref="Q109:Q110"/>
    <mergeCell ref="I125:M125"/>
    <mergeCell ref="M90:N90"/>
    <mergeCell ref="O90:P90"/>
    <mergeCell ref="Q90:R90"/>
    <mergeCell ref="S90:T90"/>
    <mergeCell ref="U90:V90"/>
    <mergeCell ref="I88:V89"/>
    <mergeCell ref="I116:M117"/>
    <mergeCell ref="Q119:Q120"/>
    <mergeCell ref="R119:R120"/>
    <mergeCell ref="S119:S120"/>
    <mergeCell ref="T119:T120"/>
    <mergeCell ref="U119:U120"/>
    <mergeCell ref="V119:V120"/>
    <mergeCell ref="Q112:Q113"/>
    <mergeCell ref="R112:R113"/>
    <mergeCell ref="S112:S113"/>
    <mergeCell ref="T112:T113"/>
    <mergeCell ref="U112:U113"/>
    <mergeCell ref="V112:V113"/>
    <mergeCell ref="Q99:Q100"/>
    <mergeCell ref="R99:R100"/>
    <mergeCell ref="S99:S100"/>
    <mergeCell ref="T99:T100"/>
  </mergeCells>
  <printOptions horizontalCentered="1" verticalCentered="1"/>
  <pageMargins left="0.25" right="0.25" top="0.5" bottom="0.5" header="0" footer="0"/>
  <pageSetup scale="24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852B5-5A2C-4765-8F45-1491ECDDD7EF}">
  <sheetPr codeName="Sheet1">
    <pageSetUpPr fitToPage="1"/>
  </sheetPr>
  <dimension ref="B1:R35"/>
  <sheetViews>
    <sheetView zoomScale="115" zoomScaleNormal="115" zoomScalePageLayoutView="70" workbookViewId="0">
      <selection activeCell="E18" sqref="E18:R29"/>
    </sheetView>
  </sheetViews>
  <sheetFormatPr defaultRowHeight="14.35" x14ac:dyDescent="0.5"/>
  <cols>
    <col min="1" max="1" width="1.29296875" customWidth="1"/>
    <col min="2" max="2" width="2.3515625" bestFit="1" customWidth="1"/>
    <col min="3" max="3" width="6.52734375" bestFit="1" customWidth="1"/>
    <col min="4" max="4" width="6.8203125" customWidth="1"/>
    <col min="5" max="5" width="6.8203125" style="70" customWidth="1"/>
    <col min="6" max="6" width="13.17578125" style="69" customWidth="1"/>
    <col min="7" max="7" width="6.8203125" style="70" customWidth="1"/>
    <col min="8" max="8" width="13.17578125" style="69" customWidth="1"/>
    <col min="9" max="9" width="6.8203125" style="70" customWidth="1"/>
    <col min="10" max="10" width="13.234375" style="69" customWidth="1"/>
    <col min="11" max="11" width="6.8203125" style="70" customWidth="1"/>
    <col min="12" max="12" width="13.17578125" style="69" customWidth="1"/>
    <col min="13" max="13" width="6.8203125" style="70" customWidth="1"/>
    <col min="14" max="14" width="13.17578125" style="69" customWidth="1"/>
    <col min="15" max="15" width="6.8203125" style="70" customWidth="1"/>
    <col min="16" max="16" width="13.17578125" style="69" customWidth="1"/>
    <col min="17" max="17" width="6.8203125" style="70" customWidth="1"/>
    <col min="18" max="18" width="13.17578125" style="69" customWidth="1"/>
  </cols>
  <sheetData>
    <row r="1" spans="2:18" ht="14.7" thickBot="1" x14ac:dyDescent="0.55000000000000004"/>
    <row r="2" spans="2:18" ht="14.7" thickBot="1" x14ac:dyDescent="0.55000000000000004">
      <c r="E2" s="288" t="s">
        <v>65</v>
      </c>
      <c r="F2" s="289"/>
      <c r="G2" s="289"/>
      <c r="H2" s="289"/>
      <c r="I2" s="289"/>
      <c r="J2" s="289"/>
      <c r="K2" s="289"/>
      <c r="L2" s="289"/>
      <c r="M2" s="289"/>
      <c r="N2" s="289"/>
      <c r="O2" s="289"/>
      <c r="P2" s="289"/>
      <c r="Q2" s="289"/>
      <c r="R2" s="290"/>
    </row>
    <row r="3" spans="2:18" ht="14.7" thickBot="1" x14ac:dyDescent="0.55000000000000004">
      <c r="B3" s="29"/>
      <c r="C3" s="67" t="s">
        <v>64</v>
      </c>
      <c r="D3" s="34" t="s">
        <v>63</v>
      </c>
      <c r="E3" s="291" t="s">
        <v>2</v>
      </c>
      <c r="F3" s="292"/>
      <c r="G3" s="292" t="s">
        <v>3</v>
      </c>
      <c r="H3" s="292"/>
      <c r="I3" s="292" t="s">
        <v>4</v>
      </c>
      <c r="J3" s="292"/>
      <c r="K3" s="292" t="s">
        <v>5</v>
      </c>
      <c r="L3" s="292"/>
      <c r="M3" s="292" t="s">
        <v>6</v>
      </c>
      <c r="N3" s="292"/>
      <c r="O3" s="292" t="s">
        <v>7</v>
      </c>
      <c r="P3" s="292"/>
      <c r="Q3" s="292" t="s">
        <v>0</v>
      </c>
      <c r="R3" s="293"/>
    </row>
    <row r="4" spans="2:18" ht="14.7" thickBot="1" x14ac:dyDescent="0.55000000000000004">
      <c r="B4" s="30">
        <v>-5</v>
      </c>
      <c r="C4" s="71" t="s">
        <v>47</v>
      </c>
      <c r="D4" s="23" t="s">
        <v>2</v>
      </c>
      <c r="E4" s="87" t="s">
        <v>54</v>
      </c>
      <c r="F4" s="85" t="s">
        <v>14</v>
      </c>
      <c r="G4" s="87" t="s">
        <v>55</v>
      </c>
      <c r="H4" s="72" t="s">
        <v>8</v>
      </c>
      <c r="I4" s="87" t="s">
        <v>56</v>
      </c>
      <c r="J4" s="94" t="s">
        <v>9</v>
      </c>
      <c r="K4" s="87" t="s">
        <v>57</v>
      </c>
      <c r="L4" s="85" t="s">
        <v>10</v>
      </c>
      <c r="M4" s="95" t="s">
        <v>58</v>
      </c>
      <c r="N4" s="99" t="s">
        <v>11</v>
      </c>
      <c r="O4" s="87" t="s">
        <v>59</v>
      </c>
      <c r="P4" s="94" t="s">
        <v>12</v>
      </c>
      <c r="Q4" s="87" t="s">
        <v>60</v>
      </c>
      <c r="R4" s="72" t="s">
        <v>13</v>
      </c>
    </row>
    <row r="5" spans="2:18" ht="14.7" thickBot="1" x14ac:dyDescent="0.55000000000000004">
      <c r="B5" s="30">
        <v>-4</v>
      </c>
      <c r="C5" s="71" t="s">
        <v>46</v>
      </c>
      <c r="D5" s="23" t="s">
        <v>55</v>
      </c>
      <c r="E5" s="74" t="s">
        <v>54</v>
      </c>
      <c r="F5" s="76" t="s">
        <v>10</v>
      </c>
      <c r="G5" s="78" t="s">
        <v>55</v>
      </c>
      <c r="H5" s="93" t="s">
        <v>11</v>
      </c>
      <c r="I5" s="74" t="s">
        <v>56</v>
      </c>
      <c r="J5" s="73" t="s">
        <v>12</v>
      </c>
      <c r="K5" s="74" t="s">
        <v>57</v>
      </c>
      <c r="L5" s="77" t="s">
        <v>13</v>
      </c>
      <c r="M5" s="87" t="s">
        <v>6</v>
      </c>
      <c r="N5" s="85" t="s">
        <v>14</v>
      </c>
      <c r="O5" s="74" t="s">
        <v>59</v>
      </c>
      <c r="P5" s="75" t="s">
        <v>8</v>
      </c>
      <c r="Q5" s="74" t="s">
        <v>60</v>
      </c>
      <c r="R5" s="73" t="s">
        <v>9</v>
      </c>
    </row>
    <row r="6" spans="2:18" ht="14.7" thickBot="1" x14ac:dyDescent="0.55000000000000004">
      <c r="B6" s="30">
        <v>-3</v>
      </c>
      <c r="C6" s="71" t="s">
        <v>45</v>
      </c>
      <c r="D6" s="23" t="s">
        <v>3</v>
      </c>
      <c r="E6" s="74" t="s">
        <v>54</v>
      </c>
      <c r="F6" s="77" t="s">
        <v>13</v>
      </c>
      <c r="G6" s="87" t="s">
        <v>3</v>
      </c>
      <c r="H6" s="85" t="s">
        <v>14</v>
      </c>
      <c r="I6" s="74" t="s">
        <v>56</v>
      </c>
      <c r="J6" s="75" t="s">
        <v>8</v>
      </c>
      <c r="K6" s="74" t="s">
        <v>57</v>
      </c>
      <c r="L6" s="76" t="s">
        <v>9</v>
      </c>
      <c r="M6" s="74" t="s">
        <v>6</v>
      </c>
      <c r="N6" s="76" t="s">
        <v>10</v>
      </c>
      <c r="O6" s="78" t="s">
        <v>59</v>
      </c>
      <c r="P6" s="93" t="s">
        <v>11</v>
      </c>
      <c r="Q6" s="74" t="s">
        <v>60</v>
      </c>
      <c r="R6" s="73" t="s">
        <v>12</v>
      </c>
    </row>
    <row r="7" spans="2:18" ht="14.7" thickBot="1" x14ac:dyDescent="0.55000000000000004">
      <c r="B7" s="30">
        <v>-2</v>
      </c>
      <c r="C7" s="71" t="s">
        <v>44</v>
      </c>
      <c r="D7" s="23" t="s">
        <v>56</v>
      </c>
      <c r="E7" s="74" t="s">
        <v>54</v>
      </c>
      <c r="F7" s="76" t="s">
        <v>9</v>
      </c>
      <c r="G7" s="74" t="s">
        <v>3</v>
      </c>
      <c r="H7" s="76" t="s">
        <v>10</v>
      </c>
      <c r="I7" s="78" t="s">
        <v>56</v>
      </c>
      <c r="J7" s="93" t="s">
        <v>11</v>
      </c>
      <c r="K7" s="74" t="s">
        <v>57</v>
      </c>
      <c r="L7" s="76" t="s">
        <v>12</v>
      </c>
      <c r="M7" s="74" t="s">
        <v>6</v>
      </c>
      <c r="N7" s="77" t="s">
        <v>13</v>
      </c>
      <c r="O7" s="87" t="s">
        <v>7</v>
      </c>
      <c r="P7" s="85" t="s">
        <v>14</v>
      </c>
      <c r="Q7" s="74" t="s">
        <v>60</v>
      </c>
      <c r="R7" s="75" t="s">
        <v>8</v>
      </c>
    </row>
    <row r="8" spans="2:18" ht="14.7" thickBot="1" x14ac:dyDescent="0.55000000000000004">
      <c r="B8" s="30">
        <v>-1</v>
      </c>
      <c r="C8" s="71" t="s">
        <v>43</v>
      </c>
      <c r="D8" s="23" t="s">
        <v>4</v>
      </c>
      <c r="E8" s="74" t="s">
        <v>54</v>
      </c>
      <c r="F8" s="76" t="s">
        <v>12</v>
      </c>
      <c r="G8" s="74" t="s">
        <v>3</v>
      </c>
      <c r="H8" s="77" t="s">
        <v>13</v>
      </c>
      <c r="I8" s="87" t="s">
        <v>61</v>
      </c>
      <c r="J8" s="85" t="s">
        <v>14</v>
      </c>
      <c r="K8" s="74" t="s">
        <v>57</v>
      </c>
      <c r="L8" s="77" t="s">
        <v>8</v>
      </c>
      <c r="M8" s="74" t="s">
        <v>6</v>
      </c>
      <c r="N8" s="76" t="s">
        <v>9</v>
      </c>
      <c r="O8" s="74" t="s">
        <v>7</v>
      </c>
      <c r="P8" s="76" t="s">
        <v>10</v>
      </c>
      <c r="Q8" s="78" t="s">
        <v>60</v>
      </c>
      <c r="R8" s="93" t="s">
        <v>11</v>
      </c>
    </row>
    <row r="9" spans="2:18" ht="14.7" thickBot="1" x14ac:dyDescent="0.55000000000000004">
      <c r="B9" s="83">
        <v>0</v>
      </c>
      <c r="C9" s="80"/>
      <c r="D9" s="84" t="s">
        <v>5</v>
      </c>
      <c r="E9" s="81" t="s">
        <v>54</v>
      </c>
      <c r="F9" s="86" t="s">
        <v>8</v>
      </c>
      <c r="G9" s="81" t="s">
        <v>3</v>
      </c>
      <c r="H9" s="82" t="s">
        <v>9</v>
      </c>
      <c r="I9" s="81" t="s">
        <v>61</v>
      </c>
      <c r="J9" s="82" t="s">
        <v>10</v>
      </c>
      <c r="K9" s="97" t="s">
        <v>57</v>
      </c>
      <c r="L9" s="98" t="s">
        <v>11</v>
      </c>
      <c r="M9" s="81" t="s">
        <v>6</v>
      </c>
      <c r="N9" s="82" t="s">
        <v>12</v>
      </c>
      <c r="O9" s="81" t="s">
        <v>7</v>
      </c>
      <c r="P9" s="86" t="s">
        <v>13</v>
      </c>
      <c r="Q9" s="100" t="s">
        <v>62</v>
      </c>
      <c r="R9" s="101" t="s">
        <v>14</v>
      </c>
    </row>
    <row r="10" spans="2:18" ht="14.7" thickBot="1" x14ac:dyDescent="0.55000000000000004">
      <c r="B10" s="30">
        <v>1</v>
      </c>
      <c r="C10" s="71" t="s">
        <v>1</v>
      </c>
      <c r="D10" s="23" t="s">
        <v>58</v>
      </c>
      <c r="E10" s="78" t="s">
        <v>54</v>
      </c>
      <c r="F10" s="79" t="s">
        <v>11</v>
      </c>
      <c r="G10" s="74" t="s">
        <v>3</v>
      </c>
      <c r="H10" s="76" t="s">
        <v>12</v>
      </c>
      <c r="I10" s="74" t="s">
        <v>61</v>
      </c>
      <c r="J10" s="77" t="s">
        <v>13</v>
      </c>
      <c r="K10" s="87" t="s">
        <v>58</v>
      </c>
      <c r="L10" s="88" t="s">
        <v>14</v>
      </c>
      <c r="M10" s="74" t="s">
        <v>6</v>
      </c>
      <c r="N10" s="77" t="s">
        <v>8</v>
      </c>
      <c r="O10" s="74" t="s">
        <v>7</v>
      </c>
      <c r="P10" s="76" t="s">
        <v>9</v>
      </c>
      <c r="Q10" s="74" t="s">
        <v>62</v>
      </c>
      <c r="R10" s="76" t="s">
        <v>10</v>
      </c>
    </row>
    <row r="11" spans="2:18" ht="14.7" thickBot="1" x14ac:dyDescent="0.55000000000000004">
      <c r="B11" s="30">
        <v>2</v>
      </c>
      <c r="C11" s="71" t="s">
        <v>38</v>
      </c>
      <c r="D11" s="23" t="s">
        <v>6</v>
      </c>
      <c r="E11" s="87" t="s">
        <v>55</v>
      </c>
      <c r="F11" s="88" t="s">
        <v>14</v>
      </c>
      <c r="G11" s="74" t="s">
        <v>3</v>
      </c>
      <c r="H11" s="77" t="s">
        <v>8</v>
      </c>
      <c r="I11" s="74" t="s">
        <v>61</v>
      </c>
      <c r="J11" s="76" t="s">
        <v>9</v>
      </c>
      <c r="K11" s="74" t="s">
        <v>58</v>
      </c>
      <c r="L11" s="89" t="s">
        <v>10</v>
      </c>
      <c r="M11" s="78" t="s">
        <v>6</v>
      </c>
      <c r="N11" s="79" t="s">
        <v>11</v>
      </c>
      <c r="O11" s="74" t="s">
        <v>7</v>
      </c>
      <c r="P11" s="76" t="s">
        <v>12</v>
      </c>
      <c r="Q11" s="74" t="s">
        <v>62</v>
      </c>
      <c r="R11" s="77" t="s">
        <v>13</v>
      </c>
    </row>
    <row r="12" spans="2:18" ht="14.7" thickBot="1" x14ac:dyDescent="0.55000000000000004">
      <c r="B12" s="30">
        <v>3</v>
      </c>
      <c r="C12" s="71" t="s">
        <v>39</v>
      </c>
      <c r="D12" s="23" t="s">
        <v>59</v>
      </c>
      <c r="E12" s="74" t="s">
        <v>55</v>
      </c>
      <c r="F12" s="89" t="s">
        <v>10</v>
      </c>
      <c r="G12" s="78" t="s">
        <v>3</v>
      </c>
      <c r="H12" s="79" t="s">
        <v>11</v>
      </c>
      <c r="I12" s="74" t="s">
        <v>61</v>
      </c>
      <c r="J12" s="76" t="s">
        <v>12</v>
      </c>
      <c r="K12" s="74" t="s">
        <v>58</v>
      </c>
      <c r="L12" s="91" t="s">
        <v>13</v>
      </c>
      <c r="M12" s="87" t="s">
        <v>59</v>
      </c>
      <c r="N12" s="88" t="s">
        <v>14</v>
      </c>
      <c r="O12" s="74" t="s">
        <v>7</v>
      </c>
      <c r="P12" s="77" t="s">
        <v>8</v>
      </c>
      <c r="Q12" s="74" t="s">
        <v>62</v>
      </c>
      <c r="R12" s="76" t="s">
        <v>9</v>
      </c>
    </row>
    <row r="13" spans="2:18" ht="14.7" thickBot="1" x14ac:dyDescent="0.55000000000000004">
      <c r="B13" s="30">
        <v>4</v>
      </c>
      <c r="C13" s="71" t="s">
        <v>40</v>
      </c>
      <c r="D13" s="23" t="s">
        <v>7</v>
      </c>
      <c r="E13" s="74" t="s">
        <v>55</v>
      </c>
      <c r="F13" s="91" t="s">
        <v>13</v>
      </c>
      <c r="G13" s="87" t="s">
        <v>56</v>
      </c>
      <c r="H13" s="88" t="s">
        <v>14</v>
      </c>
      <c r="I13" s="74" t="s">
        <v>61</v>
      </c>
      <c r="J13" s="77" t="s">
        <v>8</v>
      </c>
      <c r="K13" s="74" t="s">
        <v>58</v>
      </c>
      <c r="L13" s="89" t="s">
        <v>9</v>
      </c>
      <c r="M13" s="74" t="s">
        <v>59</v>
      </c>
      <c r="N13" s="89" t="s">
        <v>10</v>
      </c>
      <c r="O13" s="78" t="s">
        <v>7</v>
      </c>
      <c r="P13" s="79" t="s">
        <v>11</v>
      </c>
      <c r="Q13" s="74" t="s">
        <v>62</v>
      </c>
      <c r="R13" s="76" t="s">
        <v>12</v>
      </c>
    </row>
    <row r="14" spans="2:18" ht="14.7" thickBot="1" x14ac:dyDescent="0.55000000000000004">
      <c r="B14" s="30">
        <v>5</v>
      </c>
      <c r="C14" s="71" t="s">
        <v>41</v>
      </c>
      <c r="D14" s="23" t="s">
        <v>60</v>
      </c>
      <c r="E14" s="74" t="s">
        <v>55</v>
      </c>
      <c r="F14" s="89" t="s">
        <v>9</v>
      </c>
      <c r="G14" s="74" t="s">
        <v>56</v>
      </c>
      <c r="H14" s="89" t="s">
        <v>10</v>
      </c>
      <c r="I14" s="78" t="s">
        <v>61</v>
      </c>
      <c r="J14" s="79" t="s">
        <v>11</v>
      </c>
      <c r="K14" s="74" t="s">
        <v>58</v>
      </c>
      <c r="L14" s="89" t="s">
        <v>12</v>
      </c>
      <c r="M14" s="74" t="s">
        <v>59</v>
      </c>
      <c r="N14" s="91" t="s">
        <v>13</v>
      </c>
      <c r="O14" s="87" t="s">
        <v>60</v>
      </c>
      <c r="P14" s="88" t="s">
        <v>14</v>
      </c>
      <c r="Q14" s="74" t="s">
        <v>62</v>
      </c>
      <c r="R14" s="77" t="s">
        <v>8</v>
      </c>
    </row>
    <row r="15" spans="2:18" ht="14.7" thickBot="1" x14ac:dyDescent="0.55000000000000004">
      <c r="B15" s="31">
        <v>6</v>
      </c>
      <c r="C15" s="43" t="s">
        <v>42</v>
      </c>
      <c r="D15" s="27" t="s">
        <v>0</v>
      </c>
      <c r="E15" s="78" t="s">
        <v>55</v>
      </c>
      <c r="F15" s="92" t="s">
        <v>12</v>
      </c>
      <c r="G15" s="78" t="s">
        <v>56</v>
      </c>
      <c r="H15" s="90" t="s">
        <v>13</v>
      </c>
      <c r="I15" s="95" t="s">
        <v>57</v>
      </c>
      <c r="J15" s="96" t="s">
        <v>14</v>
      </c>
      <c r="K15" s="78" t="s">
        <v>58</v>
      </c>
      <c r="L15" s="90" t="s">
        <v>8</v>
      </c>
      <c r="M15" s="78" t="s">
        <v>59</v>
      </c>
      <c r="N15" s="92" t="s">
        <v>9</v>
      </c>
      <c r="O15" s="78" t="s">
        <v>60</v>
      </c>
      <c r="P15" s="92" t="s">
        <v>10</v>
      </c>
      <c r="Q15" s="78" t="s">
        <v>62</v>
      </c>
      <c r="R15" s="79" t="s">
        <v>11</v>
      </c>
    </row>
    <row r="17" spans="3:18" x14ac:dyDescent="0.5">
      <c r="C17" t="s">
        <v>216</v>
      </c>
    </row>
    <row r="18" spans="3:18" x14ac:dyDescent="0.5">
      <c r="C18" t="s">
        <v>107</v>
      </c>
      <c r="E18" s="70" t="str">
        <f>E4</f>
        <v>C / Bb</v>
      </c>
      <c r="F18" s="69" t="str">
        <f>LEFT(F4,3)&amp;"."</f>
        <v>Loc.</v>
      </c>
      <c r="G18" s="70" t="str">
        <f>G4</f>
        <v>C# / Db</v>
      </c>
      <c r="H18" s="69" t="str">
        <f>LEFT(H4,3)&amp;"."</f>
        <v>Ion.</v>
      </c>
      <c r="I18" s="70" t="str">
        <f>I4</f>
        <v>D# / Eb</v>
      </c>
      <c r="J18" s="69" t="str">
        <f>LEFT(J4,3)&amp;"."</f>
        <v>Dor.</v>
      </c>
      <c r="K18" s="70" t="str">
        <f>K4</f>
        <v>E# / F</v>
      </c>
      <c r="L18" s="69" t="str">
        <f>LEFT(L4,3)&amp;"."</f>
        <v>Phr.</v>
      </c>
      <c r="M18" s="70" t="str">
        <f>M4</f>
        <v>F# / Gb</v>
      </c>
      <c r="N18" s="69" t="str">
        <f>LEFT(N4,3)&amp;"."</f>
        <v>Lyd.</v>
      </c>
      <c r="O18" s="70" t="str">
        <f>O4</f>
        <v>G# / Ab</v>
      </c>
      <c r="P18" s="69" t="str">
        <f>LEFT(P4,3)&amp;"."</f>
        <v>Mix.</v>
      </c>
      <c r="Q18" s="70" t="str">
        <f>Q4</f>
        <v>A# / Bb</v>
      </c>
      <c r="R18" s="69" t="str">
        <f>LEFT(R4,3)&amp;"."</f>
        <v>Aeo.</v>
      </c>
    </row>
    <row r="19" spans="3:18" x14ac:dyDescent="0.5">
      <c r="C19" t="s">
        <v>108</v>
      </c>
      <c r="E19" s="70" t="str">
        <f t="shared" ref="E19:G29" si="0">E5</f>
        <v>C / Bb</v>
      </c>
      <c r="F19" s="69" t="str">
        <f t="shared" ref="F19:H29" si="1">LEFT(F5,3)&amp;"."</f>
        <v>Phr.</v>
      </c>
      <c r="G19" s="70" t="str">
        <f t="shared" si="0"/>
        <v>C# / Db</v>
      </c>
      <c r="H19" s="69" t="str">
        <f t="shared" si="1"/>
        <v>Lyd.</v>
      </c>
      <c r="I19" s="70" t="str">
        <f t="shared" ref="I19" si="2">I5</f>
        <v>D# / Eb</v>
      </c>
      <c r="J19" s="69" t="str">
        <f t="shared" ref="J19" si="3">LEFT(J5,3)&amp;"."</f>
        <v>Mix.</v>
      </c>
      <c r="K19" s="70" t="str">
        <f t="shared" ref="K19" si="4">K5</f>
        <v>E# / F</v>
      </c>
      <c r="L19" s="69" t="str">
        <f t="shared" ref="L19" si="5">LEFT(L5,3)&amp;"."</f>
        <v>Aeo.</v>
      </c>
      <c r="M19" s="70" t="str">
        <f t="shared" ref="M19" si="6">M5</f>
        <v>G</v>
      </c>
      <c r="N19" s="69" t="str">
        <f t="shared" ref="N19" si="7">LEFT(N5,3)&amp;"."</f>
        <v>Loc.</v>
      </c>
      <c r="O19" s="70" t="str">
        <f t="shared" ref="O19" si="8">O5</f>
        <v>G# / Ab</v>
      </c>
      <c r="P19" s="69" t="str">
        <f t="shared" ref="P19" si="9">LEFT(P5,3)&amp;"."</f>
        <v>Ion.</v>
      </c>
      <c r="Q19" s="70" t="str">
        <f t="shared" ref="Q19" si="10">Q5</f>
        <v>A# / Bb</v>
      </c>
      <c r="R19" s="69" t="str">
        <f t="shared" ref="R19" si="11">LEFT(R5,3)&amp;"."</f>
        <v>Dor.</v>
      </c>
    </row>
    <row r="20" spans="3:18" x14ac:dyDescent="0.5">
      <c r="C20" t="s">
        <v>109</v>
      </c>
      <c r="E20" s="70" t="str">
        <f t="shared" si="0"/>
        <v>C / Bb</v>
      </c>
      <c r="F20" s="69" t="str">
        <f t="shared" si="1"/>
        <v>Aeo.</v>
      </c>
      <c r="G20" s="70" t="str">
        <f t="shared" si="0"/>
        <v>D</v>
      </c>
      <c r="H20" s="69" t="str">
        <f t="shared" si="1"/>
        <v>Loc.</v>
      </c>
      <c r="I20" s="70" t="str">
        <f t="shared" ref="I20" si="12">I6</f>
        <v>D# / Eb</v>
      </c>
      <c r="J20" s="69" t="str">
        <f t="shared" ref="J20" si="13">LEFT(J6,3)&amp;"."</f>
        <v>Ion.</v>
      </c>
      <c r="K20" s="70" t="str">
        <f t="shared" ref="K20" si="14">K6</f>
        <v>E# / F</v>
      </c>
      <c r="L20" s="69" t="str">
        <f t="shared" ref="L20" si="15">LEFT(L6,3)&amp;"."</f>
        <v>Dor.</v>
      </c>
      <c r="M20" s="70" t="str">
        <f t="shared" ref="M20" si="16">M6</f>
        <v>G</v>
      </c>
      <c r="N20" s="69" t="str">
        <f t="shared" ref="N20" si="17">LEFT(N6,3)&amp;"."</f>
        <v>Phr.</v>
      </c>
      <c r="O20" s="70" t="str">
        <f t="shared" ref="O20" si="18">O6</f>
        <v>G# / Ab</v>
      </c>
      <c r="P20" s="69" t="str">
        <f t="shared" ref="P20" si="19">LEFT(P6,3)&amp;"."</f>
        <v>Lyd.</v>
      </c>
      <c r="Q20" s="70" t="str">
        <f t="shared" ref="Q20" si="20">Q6</f>
        <v>A# / Bb</v>
      </c>
      <c r="R20" s="69" t="str">
        <f t="shared" ref="R20" si="21">LEFT(R6,3)&amp;"."</f>
        <v>Mix.</v>
      </c>
    </row>
    <row r="21" spans="3:18" x14ac:dyDescent="0.5">
      <c r="C21" t="s">
        <v>110</v>
      </c>
      <c r="E21" s="70" t="str">
        <f t="shared" si="0"/>
        <v>C / Bb</v>
      </c>
      <c r="F21" s="69" t="str">
        <f t="shared" si="1"/>
        <v>Dor.</v>
      </c>
      <c r="G21" s="70" t="str">
        <f t="shared" si="0"/>
        <v>D</v>
      </c>
      <c r="H21" s="69" t="str">
        <f t="shared" si="1"/>
        <v>Phr.</v>
      </c>
      <c r="I21" s="70" t="str">
        <f t="shared" ref="I21" si="22">I7</f>
        <v>D# / Eb</v>
      </c>
      <c r="J21" s="69" t="str">
        <f t="shared" ref="J21" si="23">LEFT(J7,3)&amp;"."</f>
        <v>Lyd.</v>
      </c>
      <c r="K21" s="70" t="str">
        <f t="shared" ref="K21" si="24">K7</f>
        <v>E# / F</v>
      </c>
      <c r="L21" s="69" t="str">
        <f t="shared" ref="L21" si="25">LEFT(L7,3)&amp;"."</f>
        <v>Mix.</v>
      </c>
      <c r="M21" s="70" t="str">
        <f t="shared" ref="M21" si="26">M7</f>
        <v>G</v>
      </c>
      <c r="N21" s="69" t="str">
        <f t="shared" ref="N21" si="27">LEFT(N7,3)&amp;"."</f>
        <v>Aeo.</v>
      </c>
      <c r="O21" s="70" t="str">
        <f t="shared" ref="O21" si="28">O7</f>
        <v>A</v>
      </c>
      <c r="P21" s="69" t="str">
        <f t="shared" ref="P21" si="29">LEFT(P7,3)&amp;"."</f>
        <v>Loc.</v>
      </c>
      <c r="Q21" s="70" t="str">
        <f t="shared" ref="Q21" si="30">Q7</f>
        <v>A# / Bb</v>
      </c>
      <c r="R21" s="69" t="str">
        <f t="shared" ref="R21" si="31">LEFT(R7,3)&amp;"."</f>
        <v>Ion.</v>
      </c>
    </row>
    <row r="22" spans="3:18" x14ac:dyDescent="0.5">
      <c r="C22" t="s">
        <v>111</v>
      </c>
      <c r="E22" s="70" t="str">
        <f t="shared" si="0"/>
        <v>C / Bb</v>
      </c>
      <c r="F22" s="69" t="str">
        <f t="shared" si="1"/>
        <v>Mix.</v>
      </c>
      <c r="G22" s="70" t="str">
        <f t="shared" si="0"/>
        <v>D</v>
      </c>
      <c r="H22" s="69" t="str">
        <f t="shared" si="1"/>
        <v>Aeo.</v>
      </c>
      <c r="I22" s="70" t="str">
        <f t="shared" ref="I22" si="32">I8</f>
        <v>E / Fb</v>
      </c>
      <c r="J22" s="69" t="str">
        <f t="shared" ref="J22" si="33">LEFT(J8,3)&amp;"."</f>
        <v>Loc.</v>
      </c>
      <c r="K22" s="70" t="str">
        <f t="shared" ref="K22" si="34">K8</f>
        <v>E# / F</v>
      </c>
      <c r="L22" s="69" t="str">
        <f t="shared" ref="L22" si="35">LEFT(L8,3)&amp;"."</f>
        <v>Ion.</v>
      </c>
      <c r="M22" s="70" t="str">
        <f t="shared" ref="M22" si="36">M8</f>
        <v>G</v>
      </c>
      <c r="N22" s="69" t="str">
        <f t="shared" ref="N22" si="37">LEFT(N8,3)&amp;"."</f>
        <v>Dor.</v>
      </c>
      <c r="O22" s="70" t="str">
        <f t="shared" ref="O22" si="38">O8</f>
        <v>A</v>
      </c>
      <c r="P22" s="69" t="str">
        <f t="shared" ref="P22" si="39">LEFT(P8,3)&amp;"."</f>
        <v>Phr.</v>
      </c>
      <c r="Q22" s="70" t="str">
        <f t="shared" ref="Q22" si="40">Q8</f>
        <v>A# / Bb</v>
      </c>
      <c r="R22" s="69" t="str">
        <f t="shared" ref="R22" si="41">LEFT(R8,3)&amp;"."</f>
        <v>Lyd.</v>
      </c>
    </row>
    <row r="23" spans="3:18" x14ac:dyDescent="0.5">
      <c r="C23" t="s">
        <v>112</v>
      </c>
      <c r="E23" s="70" t="str">
        <f t="shared" si="0"/>
        <v>C / Bb</v>
      </c>
      <c r="F23" s="69" t="str">
        <f t="shared" si="1"/>
        <v>Ion.</v>
      </c>
      <c r="G23" s="70" t="str">
        <f t="shared" si="0"/>
        <v>D</v>
      </c>
      <c r="H23" s="69" t="str">
        <f t="shared" si="1"/>
        <v>Dor.</v>
      </c>
      <c r="I23" s="70" t="str">
        <f t="shared" ref="I23" si="42">I9</f>
        <v>E / Fb</v>
      </c>
      <c r="J23" s="69" t="str">
        <f t="shared" ref="J23" si="43">LEFT(J9,3)&amp;"."</f>
        <v>Phr.</v>
      </c>
      <c r="K23" s="70" t="str">
        <f t="shared" ref="K23" si="44">K9</f>
        <v>E# / F</v>
      </c>
      <c r="L23" s="69" t="str">
        <f t="shared" ref="L23" si="45">LEFT(L9,3)&amp;"."</f>
        <v>Lyd.</v>
      </c>
      <c r="M23" s="70" t="str">
        <f t="shared" ref="M23" si="46">M9</f>
        <v>G</v>
      </c>
      <c r="N23" s="69" t="str">
        <f t="shared" ref="N23" si="47">LEFT(N9,3)&amp;"."</f>
        <v>Mix.</v>
      </c>
      <c r="O23" s="70" t="str">
        <f t="shared" ref="O23" si="48">O9</f>
        <v>A</v>
      </c>
      <c r="P23" s="69" t="str">
        <f t="shared" ref="P23" si="49">LEFT(P9,3)&amp;"."</f>
        <v>Aeo.</v>
      </c>
      <c r="Q23" s="70" t="str">
        <f t="shared" ref="Q23" si="50">Q9</f>
        <v>B / Cb</v>
      </c>
      <c r="R23" s="69" t="str">
        <f t="shared" ref="R23" si="51">LEFT(R9,3)&amp;"."</f>
        <v>Loc.</v>
      </c>
    </row>
    <row r="24" spans="3:18" x14ac:dyDescent="0.5">
      <c r="C24" t="s">
        <v>113</v>
      </c>
      <c r="E24" s="70" t="str">
        <f t="shared" si="0"/>
        <v>C / Bb</v>
      </c>
      <c r="F24" s="69" t="str">
        <f t="shared" si="1"/>
        <v>Lyd.</v>
      </c>
      <c r="G24" s="70" t="str">
        <f t="shared" si="0"/>
        <v>D</v>
      </c>
      <c r="H24" s="69" t="str">
        <f t="shared" si="1"/>
        <v>Mix.</v>
      </c>
      <c r="I24" s="70" t="str">
        <f t="shared" ref="I24" si="52">I10</f>
        <v>E / Fb</v>
      </c>
      <c r="J24" s="69" t="str">
        <f t="shared" ref="J24" si="53">LEFT(J10,3)&amp;"."</f>
        <v>Aeo.</v>
      </c>
      <c r="K24" s="70" t="str">
        <f t="shared" ref="K24" si="54">K10</f>
        <v>F# / Gb</v>
      </c>
      <c r="L24" s="69" t="str">
        <f t="shared" ref="L24" si="55">LEFT(L10,3)&amp;"."</f>
        <v>Loc.</v>
      </c>
      <c r="M24" s="70" t="str">
        <f t="shared" ref="M24" si="56">M10</f>
        <v>G</v>
      </c>
      <c r="N24" s="69" t="str">
        <f t="shared" ref="N24" si="57">LEFT(N10,3)&amp;"."</f>
        <v>Ion.</v>
      </c>
      <c r="O24" s="70" t="str">
        <f t="shared" ref="O24" si="58">O10</f>
        <v>A</v>
      </c>
      <c r="P24" s="69" t="str">
        <f t="shared" ref="P24" si="59">LEFT(P10,3)&amp;"."</f>
        <v>Dor.</v>
      </c>
      <c r="Q24" s="70" t="str">
        <f t="shared" ref="Q24" si="60">Q10</f>
        <v>B / Cb</v>
      </c>
      <c r="R24" s="69" t="str">
        <f t="shared" ref="R24" si="61">LEFT(R10,3)&amp;"."</f>
        <v>Phr.</v>
      </c>
    </row>
    <row r="25" spans="3:18" x14ac:dyDescent="0.5">
      <c r="C25" t="s">
        <v>114</v>
      </c>
      <c r="E25" s="70" t="str">
        <f t="shared" si="0"/>
        <v>C# / Db</v>
      </c>
      <c r="F25" s="69" t="str">
        <f t="shared" si="1"/>
        <v>Loc.</v>
      </c>
      <c r="G25" s="70" t="str">
        <f t="shared" si="0"/>
        <v>D</v>
      </c>
      <c r="H25" s="69" t="str">
        <f t="shared" si="1"/>
        <v>Ion.</v>
      </c>
      <c r="I25" s="70" t="str">
        <f t="shared" ref="I25" si="62">I11</f>
        <v>E / Fb</v>
      </c>
      <c r="J25" s="69" t="str">
        <f t="shared" ref="J25" si="63">LEFT(J11,3)&amp;"."</f>
        <v>Dor.</v>
      </c>
      <c r="K25" s="70" t="str">
        <f t="shared" ref="K25" si="64">K11</f>
        <v>F# / Gb</v>
      </c>
      <c r="L25" s="69" t="str">
        <f t="shared" ref="L25" si="65">LEFT(L11,3)&amp;"."</f>
        <v>Phr.</v>
      </c>
      <c r="M25" s="70" t="str">
        <f t="shared" ref="M25" si="66">M11</f>
        <v>G</v>
      </c>
      <c r="N25" s="69" t="str">
        <f t="shared" ref="N25" si="67">LEFT(N11,3)&amp;"."</f>
        <v>Lyd.</v>
      </c>
      <c r="O25" s="70" t="str">
        <f t="shared" ref="O25" si="68">O11</f>
        <v>A</v>
      </c>
      <c r="P25" s="69" t="str">
        <f t="shared" ref="P25" si="69">LEFT(P11,3)&amp;"."</f>
        <v>Mix.</v>
      </c>
      <c r="Q25" s="70" t="str">
        <f t="shared" ref="Q25" si="70">Q11</f>
        <v>B / Cb</v>
      </c>
      <c r="R25" s="69" t="str">
        <f t="shared" ref="R25" si="71">LEFT(R11,3)&amp;"."</f>
        <v>Aeo.</v>
      </c>
    </row>
    <row r="26" spans="3:18" x14ac:dyDescent="0.5">
      <c r="C26" t="s">
        <v>115</v>
      </c>
      <c r="E26" s="70" t="str">
        <f t="shared" si="0"/>
        <v>C# / Db</v>
      </c>
      <c r="F26" s="69" t="str">
        <f t="shared" si="1"/>
        <v>Phr.</v>
      </c>
      <c r="G26" s="70" t="str">
        <f t="shared" si="0"/>
        <v>D</v>
      </c>
      <c r="H26" s="69" t="str">
        <f t="shared" si="1"/>
        <v>Lyd.</v>
      </c>
      <c r="I26" s="70" t="str">
        <f t="shared" ref="I26" si="72">I12</f>
        <v>E / Fb</v>
      </c>
      <c r="J26" s="69" t="str">
        <f t="shared" ref="J26" si="73">LEFT(J12,3)&amp;"."</f>
        <v>Mix.</v>
      </c>
      <c r="K26" s="70" t="str">
        <f t="shared" ref="K26" si="74">K12</f>
        <v>F# / Gb</v>
      </c>
      <c r="L26" s="69" t="str">
        <f t="shared" ref="L26" si="75">LEFT(L12,3)&amp;"."</f>
        <v>Aeo.</v>
      </c>
      <c r="M26" s="70" t="str">
        <f t="shared" ref="M26" si="76">M12</f>
        <v>G# / Ab</v>
      </c>
      <c r="N26" s="69" t="str">
        <f t="shared" ref="N26" si="77">LEFT(N12,3)&amp;"."</f>
        <v>Loc.</v>
      </c>
      <c r="O26" s="70" t="str">
        <f t="shared" ref="O26" si="78">O12</f>
        <v>A</v>
      </c>
      <c r="P26" s="69" t="str">
        <f t="shared" ref="P26" si="79">LEFT(P12,3)&amp;"."</f>
        <v>Ion.</v>
      </c>
      <c r="Q26" s="70" t="str">
        <f t="shared" ref="Q26" si="80">Q12</f>
        <v>B / Cb</v>
      </c>
      <c r="R26" s="69" t="str">
        <f t="shared" ref="R26" si="81">LEFT(R12,3)&amp;"."</f>
        <v>Dor.</v>
      </c>
    </row>
    <row r="27" spans="3:18" x14ac:dyDescent="0.5">
      <c r="C27" t="s">
        <v>116</v>
      </c>
      <c r="E27" s="70" t="str">
        <f t="shared" si="0"/>
        <v>C# / Db</v>
      </c>
      <c r="F27" s="69" t="str">
        <f t="shared" si="1"/>
        <v>Aeo.</v>
      </c>
      <c r="G27" s="70" t="str">
        <f t="shared" si="0"/>
        <v>D# / Eb</v>
      </c>
      <c r="H27" s="69" t="str">
        <f t="shared" si="1"/>
        <v>Loc.</v>
      </c>
      <c r="I27" s="70" t="str">
        <f t="shared" ref="I27" si="82">I13</f>
        <v>E / Fb</v>
      </c>
      <c r="J27" s="69" t="str">
        <f t="shared" ref="J27" si="83">LEFT(J13,3)&amp;"."</f>
        <v>Ion.</v>
      </c>
      <c r="K27" s="70" t="str">
        <f t="shared" ref="K27" si="84">K13</f>
        <v>F# / Gb</v>
      </c>
      <c r="L27" s="69" t="str">
        <f t="shared" ref="L27" si="85">LEFT(L13,3)&amp;"."</f>
        <v>Dor.</v>
      </c>
      <c r="M27" s="70" t="str">
        <f t="shared" ref="M27" si="86">M13</f>
        <v>G# / Ab</v>
      </c>
      <c r="N27" s="69" t="str">
        <f t="shared" ref="N27" si="87">LEFT(N13,3)&amp;"."</f>
        <v>Phr.</v>
      </c>
      <c r="O27" s="70" t="str">
        <f t="shared" ref="O27" si="88">O13</f>
        <v>A</v>
      </c>
      <c r="P27" s="69" t="str">
        <f t="shared" ref="P27" si="89">LEFT(P13,3)&amp;"."</f>
        <v>Lyd.</v>
      </c>
      <c r="Q27" s="70" t="str">
        <f t="shared" ref="Q27" si="90">Q13</f>
        <v>B / Cb</v>
      </c>
      <c r="R27" s="69" t="str">
        <f t="shared" ref="R27" si="91">LEFT(R13,3)&amp;"."</f>
        <v>Mix.</v>
      </c>
    </row>
    <row r="28" spans="3:18" x14ac:dyDescent="0.5">
      <c r="C28" t="s">
        <v>117</v>
      </c>
      <c r="E28" s="70" t="str">
        <f t="shared" si="0"/>
        <v>C# / Db</v>
      </c>
      <c r="F28" s="69" t="str">
        <f t="shared" si="1"/>
        <v>Dor.</v>
      </c>
      <c r="G28" s="70" t="str">
        <f t="shared" si="0"/>
        <v>D# / Eb</v>
      </c>
      <c r="H28" s="69" t="str">
        <f t="shared" si="1"/>
        <v>Phr.</v>
      </c>
      <c r="I28" s="70" t="str">
        <f t="shared" ref="I28" si="92">I14</f>
        <v>E / Fb</v>
      </c>
      <c r="J28" s="69" t="str">
        <f t="shared" ref="J28" si="93">LEFT(J14,3)&amp;"."</f>
        <v>Lyd.</v>
      </c>
      <c r="K28" s="70" t="str">
        <f t="shared" ref="K28" si="94">K14</f>
        <v>F# / Gb</v>
      </c>
      <c r="L28" s="69" t="str">
        <f t="shared" ref="L28" si="95">LEFT(L14,3)&amp;"."</f>
        <v>Mix.</v>
      </c>
      <c r="M28" s="70" t="str">
        <f t="shared" ref="M28" si="96">M14</f>
        <v>G# / Ab</v>
      </c>
      <c r="N28" s="69" t="str">
        <f t="shared" ref="N28" si="97">LEFT(N14,3)&amp;"."</f>
        <v>Aeo.</v>
      </c>
      <c r="O28" s="70" t="str">
        <f t="shared" ref="O28" si="98">O14</f>
        <v>A# / Bb</v>
      </c>
      <c r="P28" s="69" t="str">
        <f t="shared" ref="P28" si="99">LEFT(P14,3)&amp;"."</f>
        <v>Loc.</v>
      </c>
      <c r="Q28" s="70" t="str">
        <f t="shared" ref="Q28" si="100">Q14</f>
        <v>B / Cb</v>
      </c>
      <c r="R28" s="69" t="str">
        <f t="shared" ref="R28" si="101">LEFT(R14,3)&amp;"."</f>
        <v>Ion.</v>
      </c>
    </row>
    <row r="29" spans="3:18" x14ac:dyDescent="0.5">
      <c r="C29" t="s">
        <v>118</v>
      </c>
      <c r="E29" s="70" t="str">
        <f t="shared" si="0"/>
        <v>C# / Db</v>
      </c>
      <c r="F29" s="69" t="str">
        <f t="shared" si="1"/>
        <v>Mix.</v>
      </c>
      <c r="G29" s="70" t="str">
        <f t="shared" si="0"/>
        <v>D# / Eb</v>
      </c>
      <c r="H29" s="69" t="str">
        <f t="shared" si="1"/>
        <v>Aeo.</v>
      </c>
      <c r="I29" s="70" t="str">
        <f t="shared" ref="I29" si="102">I15</f>
        <v>E# / F</v>
      </c>
      <c r="J29" s="69" t="str">
        <f t="shared" ref="J29" si="103">LEFT(J15,3)&amp;"."</f>
        <v>Loc.</v>
      </c>
      <c r="K29" s="70" t="str">
        <f t="shared" ref="K29" si="104">K15</f>
        <v>F# / Gb</v>
      </c>
      <c r="L29" s="69" t="str">
        <f t="shared" ref="L29" si="105">LEFT(L15,3)&amp;"."</f>
        <v>Ion.</v>
      </c>
      <c r="M29" s="70" t="str">
        <f t="shared" ref="M29" si="106">M15</f>
        <v>G# / Ab</v>
      </c>
      <c r="N29" s="69" t="str">
        <f t="shared" ref="N29" si="107">LEFT(N15,3)&amp;"."</f>
        <v>Dor.</v>
      </c>
      <c r="O29" s="70" t="str">
        <f t="shared" ref="O29" si="108">O15</f>
        <v>A# / Bb</v>
      </c>
      <c r="P29" s="69" t="str">
        <f t="shared" ref="P29" si="109">LEFT(P15,3)&amp;"."</f>
        <v>Phr.</v>
      </c>
      <c r="Q29" s="70" t="str">
        <f t="shared" ref="Q29" si="110">Q15</f>
        <v>B / Cb</v>
      </c>
      <c r="R29" s="69" t="str">
        <f t="shared" ref="R29" si="111">LEFT(R15,3)&amp;"."</f>
        <v>Lyd.</v>
      </c>
    </row>
    <row r="30" spans="3:18" x14ac:dyDescent="0.5">
      <c r="C30" t="s">
        <v>119</v>
      </c>
    </row>
    <row r="31" spans="3:18" x14ac:dyDescent="0.5">
      <c r="C31" t="s">
        <v>120</v>
      </c>
    </row>
    <row r="32" spans="3:18" x14ac:dyDescent="0.5">
      <c r="C32" t="s">
        <v>121</v>
      </c>
    </row>
    <row r="33" spans="3:6" x14ac:dyDescent="0.5">
      <c r="C33" t="s">
        <v>122</v>
      </c>
      <c r="F33" s="69">
        <f>16*2-1</f>
        <v>31</v>
      </c>
    </row>
    <row r="34" spans="3:6" x14ac:dyDescent="0.5">
      <c r="F34" s="69">
        <f>F33*16</f>
        <v>496</v>
      </c>
    </row>
    <row r="35" spans="3:6" x14ac:dyDescent="0.5">
      <c r="F35" s="69">
        <f>F34+15</f>
        <v>511</v>
      </c>
    </row>
  </sheetData>
  <mergeCells count="8">
    <mergeCell ref="E2:R2"/>
    <mergeCell ref="E3:F3"/>
    <mergeCell ref="G3:H3"/>
    <mergeCell ref="I3:J3"/>
    <mergeCell ref="K3:L3"/>
    <mergeCell ref="M3:N3"/>
    <mergeCell ref="O3:P3"/>
    <mergeCell ref="Q3:R3"/>
  </mergeCells>
  <phoneticPr fontId="10" type="noConversion"/>
  <pageMargins left="0.7" right="0.7" top="0.75" bottom="0.75" header="0.3" footer="0.3"/>
  <pageSetup scale="8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X90"/>
  <sheetViews>
    <sheetView topLeftCell="A67" zoomScale="115" zoomScaleNormal="115" workbookViewId="0">
      <selection activeCell="A77" sqref="A77:Q90"/>
    </sheetView>
  </sheetViews>
  <sheetFormatPr defaultRowHeight="14.35" x14ac:dyDescent="0.5"/>
  <cols>
    <col min="1" max="1" width="16" customWidth="1"/>
  </cols>
  <sheetData>
    <row r="1" spans="1:13" x14ac:dyDescent="0.5">
      <c r="A1" s="29" t="s">
        <v>35</v>
      </c>
      <c r="B1" s="33" t="s">
        <v>2</v>
      </c>
      <c r="C1" s="33" t="s">
        <v>29</v>
      </c>
      <c r="D1" s="33" t="s">
        <v>3</v>
      </c>
      <c r="E1" s="33" t="s">
        <v>30</v>
      </c>
      <c r="F1" s="33" t="s">
        <v>4</v>
      </c>
      <c r="G1" s="33" t="s">
        <v>5</v>
      </c>
      <c r="H1" s="33" t="s">
        <v>31</v>
      </c>
      <c r="I1" s="33" t="s">
        <v>6</v>
      </c>
      <c r="J1" s="33" t="s">
        <v>32</v>
      </c>
      <c r="K1" s="33" t="s">
        <v>7</v>
      </c>
      <c r="L1" s="33" t="s">
        <v>33</v>
      </c>
      <c r="M1" s="34" t="s">
        <v>0</v>
      </c>
    </row>
    <row r="2" spans="1:13" ht="14.7" thickBot="1" x14ac:dyDescent="0.55000000000000004">
      <c r="A2" s="39" t="s">
        <v>48</v>
      </c>
      <c r="B2" s="28">
        <v>-5</v>
      </c>
      <c r="C2" s="28">
        <v>-4</v>
      </c>
      <c r="D2" s="28">
        <v>-3</v>
      </c>
      <c r="E2" s="28">
        <v>-2</v>
      </c>
      <c r="F2" s="28">
        <v>-1</v>
      </c>
      <c r="G2" s="28">
        <v>0</v>
      </c>
      <c r="H2" s="28">
        <v>1</v>
      </c>
      <c r="I2" s="28">
        <v>2</v>
      </c>
      <c r="J2" s="28">
        <v>3</v>
      </c>
      <c r="K2" s="28">
        <v>4</v>
      </c>
      <c r="L2" s="28">
        <v>5</v>
      </c>
      <c r="M2" s="40">
        <v>6</v>
      </c>
    </row>
    <row r="3" spans="1:13" x14ac:dyDescent="0.5">
      <c r="A3" s="29" t="s">
        <v>37</v>
      </c>
      <c r="B3" s="33" t="s">
        <v>47</v>
      </c>
      <c r="C3" s="33" t="s">
        <v>46</v>
      </c>
      <c r="D3" s="33" t="s">
        <v>45</v>
      </c>
      <c r="E3" s="33" t="s">
        <v>44</v>
      </c>
      <c r="F3" s="33" t="s">
        <v>43</v>
      </c>
      <c r="G3" s="33"/>
      <c r="H3" s="33" t="s">
        <v>1</v>
      </c>
      <c r="I3" s="33" t="s">
        <v>38</v>
      </c>
      <c r="J3" s="33" t="s">
        <v>39</v>
      </c>
      <c r="K3" s="33" t="s">
        <v>40</v>
      </c>
      <c r="L3" s="33" t="s">
        <v>41</v>
      </c>
      <c r="M3" s="34" t="s">
        <v>42</v>
      </c>
    </row>
    <row r="4" spans="1:13" x14ac:dyDescent="0.5">
      <c r="A4" s="35" t="s">
        <v>50</v>
      </c>
      <c r="B4" s="22" t="s">
        <v>29</v>
      </c>
      <c r="C4" s="22" t="s">
        <v>32</v>
      </c>
      <c r="D4" s="22" t="s">
        <v>30</v>
      </c>
      <c r="E4" s="22" t="s">
        <v>33</v>
      </c>
      <c r="F4" s="22" t="s">
        <v>5</v>
      </c>
      <c r="G4" s="22" t="s">
        <v>2</v>
      </c>
      <c r="H4" s="22" t="s">
        <v>6</v>
      </c>
      <c r="I4" s="22" t="s">
        <v>3</v>
      </c>
      <c r="J4" s="22" t="s">
        <v>7</v>
      </c>
      <c r="K4" s="22" t="s">
        <v>4</v>
      </c>
      <c r="L4" s="22" t="s">
        <v>0</v>
      </c>
      <c r="M4" s="36" t="s">
        <v>31</v>
      </c>
    </row>
    <row r="5" spans="1:13" ht="14.7" thickBot="1" x14ac:dyDescent="0.55000000000000004">
      <c r="A5" s="37" t="s">
        <v>51</v>
      </c>
      <c r="B5" s="25" t="s">
        <v>33</v>
      </c>
      <c r="C5" s="25" t="s">
        <v>5</v>
      </c>
      <c r="D5" s="25" t="s">
        <v>2</v>
      </c>
      <c r="E5" s="25" t="s">
        <v>6</v>
      </c>
      <c r="F5" s="25" t="s">
        <v>3</v>
      </c>
      <c r="G5" s="25" t="s">
        <v>7</v>
      </c>
      <c r="H5" s="25" t="s">
        <v>4</v>
      </c>
      <c r="I5" s="25" t="s">
        <v>0</v>
      </c>
      <c r="J5" s="25" t="s">
        <v>31</v>
      </c>
      <c r="K5" s="25" t="s">
        <v>29</v>
      </c>
      <c r="L5" s="25" t="s">
        <v>32</v>
      </c>
      <c r="M5" s="38" t="s">
        <v>30</v>
      </c>
    </row>
    <row r="6" spans="1:13" x14ac:dyDescent="0.5">
      <c r="A6" s="41" t="s">
        <v>14</v>
      </c>
      <c r="B6" s="32" t="s">
        <v>2</v>
      </c>
      <c r="C6" s="32" t="s">
        <v>6</v>
      </c>
      <c r="D6" s="32" t="s">
        <v>3</v>
      </c>
      <c r="E6" s="32" t="s">
        <v>7</v>
      </c>
      <c r="F6" s="32" t="s">
        <v>4</v>
      </c>
      <c r="G6" s="32" t="s">
        <v>0</v>
      </c>
      <c r="H6" s="32" t="s">
        <v>31</v>
      </c>
      <c r="I6" s="32" t="s">
        <v>29</v>
      </c>
      <c r="J6" s="32" t="s">
        <v>32</v>
      </c>
      <c r="K6" s="32" t="s">
        <v>30</v>
      </c>
      <c r="L6" s="32" t="s">
        <v>33</v>
      </c>
      <c r="M6" s="42" t="s">
        <v>34</v>
      </c>
    </row>
    <row r="7" spans="1:13" x14ac:dyDescent="0.5">
      <c r="A7" s="30" t="s">
        <v>10</v>
      </c>
      <c r="B7" s="20" t="s">
        <v>5</v>
      </c>
      <c r="C7" s="20" t="s">
        <v>2</v>
      </c>
      <c r="D7" s="20" t="s">
        <v>6</v>
      </c>
      <c r="E7" s="20" t="s">
        <v>3</v>
      </c>
      <c r="F7" s="20" t="s">
        <v>7</v>
      </c>
      <c r="G7" s="20" t="s">
        <v>4</v>
      </c>
      <c r="H7" s="20" t="s">
        <v>0</v>
      </c>
      <c r="I7" s="20" t="s">
        <v>31</v>
      </c>
      <c r="J7" s="20" t="s">
        <v>29</v>
      </c>
      <c r="K7" s="20" t="s">
        <v>32</v>
      </c>
      <c r="L7" s="20" t="s">
        <v>30</v>
      </c>
      <c r="M7" s="23" t="s">
        <v>33</v>
      </c>
    </row>
    <row r="8" spans="1:13" x14ac:dyDescent="0.5">
      <c r="A8" s="30" t="s">
        <v>9</v>
      </c>
      <c r="B8" s="20" t="s">
        <v>30</v>
      </c>
      <c r="C8" s="20" t="s">
        <v>33</v>
      </c>
      <c r="D8" s="20" t="s">
        <v>5</v>
      </c>
      <c r="E8" s="20" t="s">
        <v>2</v>
      </c>
      <c r="F8" s="20" t="s">
        <v>6</v>
      </c>
      <c r="G8" s="20" t="s">
        <v>3</v>
      </c>
      <c r="H8" s="20" t="s">
        <v>7</v>
      </c>
      <c r="I8" s="20" t="s">
        <v>4</v>
      </c>
      <c r="J8" s="20" t="s">
        <v>0</v>
      </c>
      <c r="K8" s="20" t="s">
        <v>31</v>
      </c>
      <c r="L8" s="20" t="s">
        <v>29</v>
      </c>
      <c r="M8" s="23" t="s">
        <v>32</v>
      </c>
    </row>
    <row r="9" spans="1:13" x14ac:dyDescent="0.5">
      <c r="A9" s="30" t="s">
        <v>12</v>
      </c>
      <c r="B9" s="20" t="s">
        <v>32</v>
      </c>
      <c r="C9" s="20" t="s">
        <v>30</v>
      </c>
      <c r="D9" s="20" t="s">
        <v>33</v>
      </c>
      <c r="E9" s="20" t="s">
        <v>5</v>
      </c>
      <c r="F9" s="20" t="s">
        <v>2</v>
      </c>
      <c r="G9" s="20" t="s">
        <v>6</v>
      </c>
      <c r="H9" s="20" t="s">
        <v>3</v>
      </c>
      <c r="I9" s="20" t="s">
        <v>7</v>
      </c>
      <c r="J9" s="20" t="s">
        <v>4</v>
      </c>
      <c r="K9" s="20" t="s">
        <v>0</v>
      </c>
      <c r="L9" s="20" t="s">
        <v>31</v>
      </c>
      <c r="M9" s="23" t="s">
        <v>29</v>
      </c>
    </row>
    <row r="10" spans="1:13" ht="14.7" thickBot="1" x14ac:dyDescent="0.55000000000000004">
      <c r="A10" s="31" t="s">
        <v>11</v>
      </c>
      <c r="B10" s="24" t="s">
        <v>31</v>
      </c>
      <c r="C10" s="24" t="s">
        <v>29</v>
      </c>
      <c r="D10" s="24" t="s">
        <v>32</v>
      </c>
      <c r="E10" s="24" t="s">
        <v>30</v>
      </c>
      <c r="F10" s="24" t="s">
        <v>33</v>
      </c>
      <c r="G10" s="24" t="s">
        <v>5</v>
      </c>
      <c r="H10" s="24" t="s">
        <v>2</v>
      </c>
      <c r="I10" s="24" t="s">
        <v>6</v>
      </c>
      <c r="J10" s="24" t="s">
        <v>3</v>
      </c>
      <c r="K10" s="24" t="s">
        <v>7</v>
      </c>
      <c r="L10" s="24" t="s">
        <v>4</v>
      </c>
      <c r="M10" s="27" t="s">
        <v>0</v>
      </c>
    </row>
    <row r="11" spans="1:13" x14ac:dyDescent="0.5">
      <c r="A11" s="41" t="s">
        <v>49</v>
      </c>
      <c r="B11" s="294" t="s">
        <v>36</v>
      </c>
      <c r="C11" s="294"/>
      <c r="D11" s="294"/>
      <c r="E11" s="294"/>
      <c r="F11" s="294"/>
      <c r="G11" s="294"/>
      <c r="H11" s="294"/>
      <c r="I11" s="294"/>
      <c r="J11" s="294"/>
      <c r="K11" s="294"/>
      <c r="L11" s="294"/>
      <c r="M11" s="295"/>
    </row>
    <row r="12" spans="1:13" x14ac:dyDescent="0.5">
      <c r="A12" s="30" t="s">
        <v>2</v>
      </c>
      <c r="B12" s="20" t="s">
        <v>14</v>
      </c>
      <c r="C12" s="20" t="s">
        <v>10</v>
      </c>
      <c r="D12" s="21" t="s">
        <v>13</v>
      </c>
      <c r="E12" s="20" t="s">
        <v>9</v>
      </c>
      <c r="F12" s="20" t="s">
        <v>12</v>
      </c>
      <c r="G12" s="22" t="s">
        <v>8</v>
      </c>
      <c r="H12" s="20" t="s">
        <v>11</v>
      </c>
      <c r="I12" s="20"/>
      <c r="J12" s="20"/>
      <c r="K12" s="20"/>
      <c r="L12" s="20"/>
      <c r="M12" s="23"/>
    </row>
    <row r="13" spans="1:13" x14ac:dyDescent="0.5">
      <c r="A13" s="30" t="s">
        <v>3</v>
      </c>
      <c r="B13" s="20"/>
      <c r="C13" s="20"/>
      <c r="D13" s="20" t="s">
        <v>14</v>
      </c>
      <c r="E13" s="20" t="s">
        <v>10</v>
      </c>
      <c r="F13" s="21" t="s">
        <v>13</v>
      </c>
      <c r="G13" s="20" t="s">
        <v>9</v>
      </c>
      <c r="H13" s="20" t="s">
        <v>12</v>
      </c>
      <c r="I13" s="22" t="s">
        <v>8</v>
      </c>
      <c r="J13" s="20" t="s">
        <v>11</v>
      </c>
      <c r="K13" s="20"/>
      <c r="L13" s="20"/>
      <c r="M13" s="23"/>
    </row>
    <row r="14" spans="1:13" x14ac:dyDescent="0.5">
      <c r="A14" s="30" t="s">
        <v>4</v>
      </c>
      <c r="B14" s="20"/>
      <c r="C14" s="20"/>
      <c r="D14" s="20"/>
      <c r="E14" s="20"/>
      <c r="F14" s="20" t="s">
        <v>14</v>
      </c>
      <c r="G14" s="20" t="s">
        <v>10</v>
      </c>
      <c r="H14" s="21" t="s">
        <v>13</v>
      </c>
      <c r="I14" s="20" t="s">
        <v>9</v>
      </c>
      <c r="J14" s="20" t="s">
        <v>12</v>
      </c>
      <c r="K14" s="22" t="s">
        <v>8</v>
      </c>
      <c r="L14" s="20" t="s">
        <v>11</v>
      </c>
      <c r="M14" s="23"/>
    </row>
    <row r="15" spans="1:13" x14ac:dyDescent="0.5">
      <c r="A15" s="30" t="s">
        <v>5</v>
      </c>
      <c r="B15" s="20" t="s">
        <v>10</v>
      </c>
      <c r="C15" s="21" t="s">
        <v>13</v>
      </c>
      <c r="D15" s="20" t="s">
        <v>9</v>
      </c>
      <c r="E15" s="20" t="s">
        <v>12</v>
      </c>
      <c r="F15" s="22" t="s">
        <v>8</v>
      </c>
      <c r="G15" s="20" t="s">
        <v>11</v>
      </c>
      <c r="H15" s="20"/>
      <c r="I15" s="20"/>
      <c r="J15" s="20"/>
      <c r="K15" s="20"/>
      <c r="L15" s="20"/>
      <c r="M15" s="23" t="s">
        <v>14</v>
      </c>
    </row>
    <row r="16" spans="1:13" x14ac:dyDescent="0.5">
      <c r="A16" s="30" t="s">
        <v>6</v>
      </c>
      <c r="B16" s="20"/>
      <c r="C16" s="20" t="s">
        <v>14</v>
      </c>
      <c r="D16" s="20" t="s">
        <v>10</v>
      </c>
      <c r="E16" s="21" t="s">
        <v>13</v>
      </c>
      <c r="F16" s="20" t="s">
        <v>9</v>
      </c>
      <c r="G16" s="20" t="s">
        <v>12</v>
      </c>
      <c r="H16" s="22" t="s">
        <v>8</v>
      </c>
      <c r="I16" s="20" t="s">
        <v>11</v>
      </c>
      <c r="J16" s="20"/>
      <c r="K16" s="20"/>
      <c r="L16" s="20"/>
      <c r="M16" s="23"/>
    </row>
    <row r="17" spans="1:23" x14ac:dyDescent="0.5">
      <c r="A17" s="30" t="s">
        <v>7</v>
      </c>
      <c r="B17" s="20"/>
      <c r="C17" s="20"/>
      <c r="D17" s="20"/>
      <c r="E17" s="20" t="s">
        <v>14</v>
      </c>
      <c r="F17" s="20" t="s">
        <v>10</v>
      </c>
      <c r="G17" s="21" t="s">
        <v>13</v>
      </c>
      <c r="H17" s="20" t="s">
        <v>9</v>
      </c>
      <c r="I17" s="20" t="s">
        <v>12</v>
      </c>
      <c r="J17" s="22" t="s">
        <v>8</v>
      </c>
      <c r="K17" s="20" t="s">
        <v>11</v>
      </c>
      <c r="L17" s="20"/>
      <c r="M17" s="23"/>
    </row>
    <row r="18" spans="1:23" ht="14.7" thickBot="1" x14ac:dyDescent="0.55000000000000004">
      <c r="A18" s="31" t="s">
        <v>0</v>
      </c>
      <c r="B18" s="24"/>
      <c r="C18" s="24"/>
      <c r="D18" s="24"/>
      <c r="E18" s="24"/>
      <c r="F18" s="24"/>
      <c r="G18" s="24" t="s">
        <v>14</v>
      </c>
      <c r="H18" s="24" t="s">
        <v>10</v>
      </c>
      <c r="I18" s="25" t="s">
        <v>13</v>
      </c>
      <c r="J18" s="24" t="s">
        <v>9</v>
      </c>
      <c r="K18" s="24" t="s">
        <v>12</v>
      </c>
      <c r="L18" s="26" t="s">
        <v>8</v>
      </c>
      <c r="M18" s="27" t="s">
        <v>11</v>
      </c>
    </row>
    <row r="20" spans="1:23" x14ac:dyDescent="0.5">
      <c r="B20">
        <v>0</v>
      </c>
      <c r="C20">
        <v>2</v>
      </c>
      <c r="D20">
        <v>2</v>
      </c>
      <c r="E20">
        <v>1</v>
      </c>
      <c r="F20">
        <v>2</v>
      </c>
      <c r="G20">
        <v>2</v>
      </c>
      <c r="H20">
        <v>2</v>
      </c>
      <c r="I20">
        <v>1</v>
      </c>
      <c r="J20">
        <v>2</v>
      </c>
      <c r="K20">
        <v>2</v>
      </c>
      <c r="L20">
        <v>1</v>
      </c>
      <c r="M20">
        <v>2</v>
      </c>
      <c r="N20">
        <v>2</v>
      </c>
      <c r="O20">
        <v>2</v>
      </c>
      <c r="P20">
        <v>1</v>
      </c>
      <c r="Q20">
        <v>2</v>
      </c>
      <c r="R20">
        <v>2</v>
      </c>
      <c r="S20">
        <v>1</v>
      </c>
      <c r="T20">
        <v>2</v>
      </c>
      <c r="U20">
        <v>2</v>
      </c>
      <c r="V20">
        <v>2</v>
      </c>
      <c r="W20">
        <v>1</v>
      </c>
    </row>
    <row r="21" spans="1:23" x14ac:dyDescent="0.5">
      <c r="B21">
        <v>1</v>
      </c>
      <c r="C21">
        <v>2</v>
      </c>
      <c r="D21">
        <v>3</v>
      </c>
      <c r="E21">
        <v>4</v>
      </c>
      <c r="F21">
        <v>5</v>
      </c>
      <c r="G21">
        <v>6</v>
      </c>
      <c r="H21">
        <v>7</v>
      </c>
    </row>
    <row r="22" spans="1:23" x14ac:dyDescent="0.5">
      <c r="A22" t="s">
        <v>52</v>
      </c>
      <c r="B22">
        <f>B20</f>
        <v>0</v>
      </c>
      <c r="C22">
        <f>B22+C20</f>
        <v>2</v>
      </c>
      <c r="D22">
        <f t="shared" ref="D22:W22" si="0">C22+D20</f>
        <v>4</v>
      </c>
      <c r="E22">
        <f t="shared" si="0"/>
        <v>5</v>
      </c>
      <c r="F22">
        <f t="shared" si="0"/>
        <v>7</v>
      </c>
      <c r="G22">
        <f t="shared" si="0"/>
        <v>9</v>
      </c>
      <c r="H22">
        <f t="shared" si="0"/>
        <v>11</v>
      </c>
      <c r="I22">
        <f t="shared" si="0"/>
        <v>12</v>
      </c>
      <c r="J22">
        <f t="shared" si="0"/>
        <v>14</v>
      </c>
      <c r="K22">
        <f t="shared" si="0"/>
        <v>16</v>
      </c>
      <c r="L22">
        <f t="shared" si="0"/>
        <v>17</v>
      </c>
      <c r="M22">
        <f t="shared" si="0"/>
        <v>19</v>
      </c>
      <c r="N22">
        <f t="shared" si="0"/>
        <v>21</v>
      </c>
      <c r="O22">
        <f t="shared" si="0"/>
        <v>23</v>
      </c>
      <c r="P22">
        <f t="shared" si="0"/>
        <v>24</v>
      </c>
      <c r="Q22">
        <f t="shared" si="0"/>
        <v>26</v>
      </c>
      <c r="R22">
        <f t="shared" si="0"/>
        <v>28</v>
      </c>
      <c r="S22">
        <f t="shared" si="0"/>
        <v>29</v>
      </c>
      <c r="T22">
        <f t="shared" si="0"/>
        <v>31</v>
      </c>
      <c r="U22">
        <f t="shared" si="0"/>
        <v>33</v>
      </c>
      <c r="V22">
        <f t="shared" si="0"/>
        <v>35</v>
      </c>
      <c r="W22">
        <f t="shared" si="0"/>
        <v>36</v>
      </c>
    </row>
    <row r="23" spans="1:23" x14ac:dyDescent="0.5">
      <c r="A23" t="s">
        <v>9</v>
      </c>
      <c r="B23">
        <f>C22-$C22</f>
        <v>0</v>
      </c>
      <c r="C23">
        <f t="shared" ref="C23:W27" si="1">D22-$C22</f>
        <v>2</v>
      </c>
      <c r="D23">
        <f t="shared" si="1"/>
        <v>3</v>
      </c>
      <c r="E23">
        <f t="shared" si="1"/>
        <v>5</v>
      </c>
      <c r="F23">
        <f t="shared" si="1"/>
        <v>7</v>
      </c>
      <c r="G23">
        <f t="shared" si="1"/>
        <v>9</v>
      </c>
      <c r="H23">
        <f t="shared" si="1"/>
        <v>10</v>
      </c>
      <c r="I23">
        <f t="shared" si="1"/>
        <v>12</v>
      </c>
      <c r="J23">
        <f t="shared" si="1"/>
        <v>14</v>
      </c>
      <c r="K23">
        <f t="shared" si="1"/>
        <v>15</v>
      </c>
      <c r="L23">
        <f t="shared" si="1"/>
        <v>17</v>
      </c>
      <c r="M23">
        <f t="shared" si="1"/>
        <v>19</v>
      </c>
      <c r="N23">
        <f t="shared" si="1"/>
        <v>21</v>
      </c>
      <c r="O23">
        <f t="shared" si="1"/>
        <v>22</v>
      </c>
      <c r="P23">
        <f t="shared" si="1"/>
        <v>24</v>
      </c>
      <c r="Q23">
        <f t="shared" si="1"/>
        <v>26</v>
      </c>
      <c r="R23">
        <f t="shared" si="1"/>
        <v>27</v>
      </c>
      <c r="S23">
        <f t="shared" si="1"/>
        <v>29</v>
      </c>
      <c r="T23">
        <f t="shared" si="1"/>
        <v>31</v>
      </c>
      <c r="U23">
        <f t="shared" si="1"/>
        <v>33</v>
      </c>
      <c r="V23">
        <f t="shared" si="1"/>
        <v>34</v>
      </c>
      <c r="W23">
        <f t="shared" si="1"/>
        <v>-2</v>
      </c>
    </row>
    <row r="24" spans="1:23" x14ac:dyDescent="0.5">
      <c r="A24" t="s">
        <v>10</v>
      </c>
      <c r="B24">
        <f>C23-$C23</f>
        <v>0</v>
      </c>
      <c r="C24">
        <f t="shared" si="1"/>
        <v>1</v>
      </c>
      <c r="D24">
        <f t="shared" si="1"/>
        <v>3</v>
      </c>
      <c r="E24">
        <f t="shared" si="1"/>
        <v>5</v>
      </c>
      <c r="F24">
        <f t="shared" si="1"/>
        <v>7</v>
      </c>
      <c r="G24">
        <f t="shared" si="1"/>
        <v>8</v>
      </c>
      <c r="H24">
        <f t="shared" si="1"/>
        <v>10</v>
      </c>
      <c r="I24">
        <f t="shared" si="1"/>
        <v>12</v>
      </c>
      <c r="J24">
        <f t="shared" si="1"/>
        <v>13</v>
      </c>
      <c r="K24">
        <f t="shared" si="1"/>
        <v>15</v>
      </c>
      <c r="L24">
        <f t="shared" si="1"/>
        <v>17</v>
      </c>
      <c r="M24">
        <f t="shared" si="1"/>
        <v>19</v>
      </c>
      <c r="N24">
        <f t="shared" si="1"/>
        <v>20</v>
      </c>
      <c r="O24">
        <f t="shared" si="1"/>
        <v>22</v>
      </c>
      <c r="P24">
        <f t="shared" si="1"/>
        <v>24</v>
      </c>
      <c r="Q24">
        <f t="shared" si="1"/>
        <v>25</v>
      </c>
      <c r="R24">
        <f t="shared" si="1"/>
        <v>27</v>
      </c>
      <c r="S24">
        <f t="shared" si="1"/>
        <v>29</v>
      </c>
      <c r="T24">
        <f t="shared" si="1"/>
        <v>31</v>
      </c>
      <c r="U24">
        <f t="shared" si="1"/>
        <v>32</v>
      </c>
      <c r="V24">
        <f t="shared" si="1"/>
        <v>-4</v>
      </c>
      <c r="W24">
        <f t="shared" si="1"/>
        <v>-2</v>
      </c>
    </row>
    <row r="25" spans="1:23" x14ac:dyDescent="0.5">
      <c r="A25" t="s">
        <v>11</v>
      </c>
      <c r="B25">
        <f t="shared" ref="B25:B27" si="2">C24-$C24</f>
        <v>0</v>
      </c>
      <c r="C25">
        <f t="shared" si="1"/>
        <v>2</v>
      </c>
      <c r="D25">
        <f t="shared" si="1"/>
        <v>4</v>
      </c>
      <c r="E25">
        <f t="shared" si="1"/>
        <v>6</v>
      </c>
      <c r="F25">
        <f t="shared" si="1"/>
        <v>7</v>
      </c>
      <c r="G25">
        <f t="shared" si="1"/>
        <v>9</v>
      </c>
      <c r="H25">
        <f t="shared" si="1"/>
        <v>11</v>
      </c>
      <c r="I25">
        <f t="shared" si="1"/>
        <v>12</v>
      </c>
      <c r="J25">
        <f t="shared" si="1"/>
        <v>14</v>
      </c>
      <c r="K25">
        <f t="shared" si="1"/>
        <v>16</v>
      </c>
      <c r="L25">
        <f t="shared" si="1"/>
        <v>18</v>
      </c>
      <c r="M25">
        <f t="shared" si="1"/>
        <v>19</v>
      </c>
      <c r="N25">
        <f t="shared" si="1"/>
        <v>21</v>
      </c>
      <c r="O25">
        <f t="shared" si="1"/>
        <v>23</v>
      </c>
      <c r="P25">
        <f t="shared" si="1"/>
        <v>24</v>
      </c>
      <c r="Q25">
        <f t="shared" si="1"/>
        <v>26</v>
      </c>
      <c r="R25">
        <f t="shared" si="1"/>
        <v>28</v>
      </c>
      <c r="S25">
        <f t="shared" si="1"/>
        <v>30</v>
      </c>
      <c r="T25">
        <f t="shared" si="1"/>
        <v>31</v>
      </c>
      <c r="U25">
        <f t="shared" si="1"/>
        <v>-5</v>
      </c>
      <c r="V25">
        <f t="shared" si="1"/>
        <v>-3</v>
      </c>
      <c r="W25">
        <f t="shared" si="1"/>
        <v>-1</v>
      </c>
    </row>
    <row r="26" spans="1:23" x14ac:dyDescent="0.5">
      <c r="A26" t="s">
        <v>53</v>
      </c>
      <c r="B26">
        <f t="shared" si="2"/>
        <v>0</v>
      </c>
      <c r="C26">
        <f t="shared" si="1"/>
        <v>2</v>
      </c>
      <c r="D26">
        <f t="shared" si="1"/>
        <v>4</v>
      </c>
      <c r="E26">
        <f t="shared" si="1"/>
        <v>5</v>
      </c>
      <c r="F26">
        <f t="shared" si="1"/>
        <v>7</v>
      </c>
      <c r="G26">
        <f t="shared" si="1"/>
        <v>9</v>
      </c>
      <c r="H26">
        <f t="shared" si="1"/>
        <v>10</v>
      </c>
      <c r="I26">
        <f t="shared" si="1"/>
        <v>12</v>
      </c>
      <c r="J26">
        <f t="shared" si="1"/>
        <v>14</v>
      </c>
      <c r="K26">
        <f t="shared" si="1"/>
        <v>16</v>
      </c>
      <c r="L26">
        <f t="shared" si="1"/>
        <v>17</v>
      </c>
      <c r="M26">
        <f t="shared" si="1"/>
        <v>19</v>
      </c>
      <c r="N26">
        <f t="shared" si="1"/>
        <v>21</v>
      </c>
      <c r="O26">
        <f t="shared" si="1"/>
        <v>22</v>
      </c>
      <c r="P26">
        <f t="shared" si="1"/>
        <v>24</v>
      </c>
      <c r="Q26">
        <f t="shared" si="1"/>
        <v>26</v>
      </c>
      <c r="R26">
        <f t="shared" si="1"/>
        <v>28</v>
      </c>
      <c r="S26">
        <f t="shared" si="1"/>
        <v>29</v>
      </c>
      <c r="T26">
        <f t="shared" si="1"/>
        <v>-7</v>
      </c>
      <c r="U26">
        <f t="shared" si="1"/>
        <v>-5</v>
      </c>
      <c r="V26">
        <f t="shared" si="1"/>
        <v>-3</v>
      </c>
      <c r="W26">
        <f t="shared" si="1"/>
        <v>-2</v>
      </c>
    </row>
    <row r="27" spans="1:23" x14ac:dyDescent="0.5">
      <c r="A27" t="s">
        <v>13</v>
      </c>
      <c r="B27">
        <f t="shared" si="2"/>
        <v>0</v>
      </c>
      <c r="C27">
        <f t="shared" si="1"/>
        <v>2</v>
      </c>
      <c r="D27">
        <f t="shared" si="1"/>
        <v>3</v>
      </c>
      <c r="E27">
        <f t="shared" si="1"/>
        <v>5</v>
      </c>
      <c r="F27">
        <f t="shared" si="1"/>
        <v>7</v>
      </c>
      <c r="G27">
        <f t="shared" si="1"/>
        <v>8</v>
      </c>
      <c r="H27">
        <f t="shared" si="1"/>
        <v>10</v>
      </c>
      <c r="I27">
        <f t="shared" si="1"/>
        <v>12</v>
      </c>
      <c r="J27">
        <f t="shared" si="1"/>
        <v>14</v>
      </c>
      <c r="K27">
        <f t="shared" si="1"/>
        <v>15</v>
      </c>
      <c r="L27">
        <f t="shared" si="1"/>
        <v>17</v>
      </c>
      <c r="M27">
        <f t="shared" si="1"/>
        <v>19</v>
      </c>
      <c r="N27">
        <f t="shared" si="1"/>
        <v>20</v>
      </c>
      <c r="O27">
        <f t="shared" si="1"/>
        <v>22</v>
      </c>
      <c r="P27">
        <f t="shared" si="1"/>
        <v>24</v>
      </c>
      <c r="Q27">
        <f t="shared" si="1"/>
        <v>26</v>
      </c>
      <c r="R27">
        <f t="shared" si="1"/>
        <v>27</v>
      </c>
      <c r="S27">
        <f t="shared" si="1"/>
        <v>-9</v>
      </c>
      <c r="T27">
        <f t="shared" si="1"/>
        <v>-7</v>
      </c>
      <c r="U27">
        <f t="shared" si="1"/>
        <v>-5</v>
      </c>
      <c r="V27">
        <f t="shared" si="1"/>
        <v>-4</v>
      </c>
      <c r="W27">
        <f t="shared" si="1"/>
        <v>-2</v>
      </c>
    </row>
    <row r="28" spans="1:23" x14ac:dyDescent="0.5">
      <c r="A28" t="s">
        <v>14</v>
      </c>
      <c r="B28">
        <f t="shared" ref="B28" si="3">C27-$C27</f>
        <v>0</v>
      </c>
      <c r="C28">
        <f t="shared" ref="C28" si="4">D27-$C27</f>
        <v>1</v>
      </c>
      <c r="D28">
        <f t="shared" ref="D28" si="5">E27-$C27</f>
        <v>3</v>
      </c>
      <c r="E28">
        <f t="shared" ref="E28" si="6">F27-$C27</f>
        <v>5</v>
      </c>
      <c r="F28">
        <f t="shared" ref="F28" si="7">G27-$C27</f>
        <v>6</v>
      </c>
      <c r="G28">
        <f t="shared" ref="G28" si="8">H27-$C27</f>
        <v>8</v>
      </c>
      <c r="H28">
        <f t="shared" ref="H28" si="9">I27-$C27</f>
        <v>10</v>
      </c>
      <c r="I28">
        <f t="shared" ref="I28" si="10">J27-$C27</f>
        <v>12</v>
      </c>
      <c r="J28">
        <f t="shared" ref="J28" si="11">K27-$C27</f>
        <v>13</v>
      </c>
      <c r="K28">
        <f t="shared" ref="K28" si="12">L27-$C27</f>
        <v>15</v>
      </c>
      <c r="L28">
        <f t="shared" ref="L28" si="13">M27-$C27</f>
        <v>17</v>
      </c>
      <c r="M28">
        <f t="shared" ref="M28" si="14">N27-$C27</f>
        <v>18</v>
      </c>
      <c r="N28">
        <f t="shared" ref="N28" si="15">O27-$C27</f>
        <v>20</v>
      </c>
      <c r="O28">
        <f t="shared" ref="O28" si="16">P27-$C27</f>
        <v>22</v>
      </c>
      <c r="P28">
        <f t="shared" ref="P28" si="17">Q27-$C27</f>
        <v>24</v>
      </c>
      <c r="Q28">
        <f t="shared" ref="Q28" si="18">R27-$C27</f>
        <v>25</v>
      </c>
      <c r="R28">
        <f t="shared" ref="R28" si="19">S27-$C27</f>
        <v>-11</v>
      </c>
      <c r="S28">
        <f t="shared" ref="S28" si="20">T27-$C27</f>
        <v>-9</v>
      </c>
      <c r="T28">
        <f t="shared" ref="T28" si="21">U27-$C27</f>
        <v>-7</v>
      </c>
      <c r="U28">
        <f t="shared" ref="U28" si="22">V27-$C27</f>
        <v>-6</v>
      </c>
      <c r="V28">
        <f t="shared" ref="V28" si="23">W27-$C27</f>
        <v>-4</v>
      </c>
      <c r="W28">
        <f t="shared" ref="W28" si="24">X27-$C27</f>
        <v>-2</v>
      </c>
    </row>
    <row r="34" spans="1:24" x14ac:dyDescent="0.5">
      <c r="K34">
        <v>5</v>
      </c>
    </row>
    <row r="35" spans="1:24" x14ac:dyDescent="0.5">
      <c r="B35" t="s">
        <v>2</v>
      </c>
      <c r="C35" t="s">
        <v>3</v>
      </c>
      <c r="D35" t="s">
        <v>4</v>
      </c>
      <c r="E35" t="s">
        <v>5</v>
      </c>
      <c r="F35" t="s">
        <v>6</v>
      </c>
      <c r="G35" t="s">
        <v>7</v>
      </c>
      <c r="H35" t="s">
        <v>0</v>
      </c>
    </row>
    <row r="36" spans="1:24" x14ac:dyDescent="0.5">
      <c r="A36" t="s">
        <v>14</v>
      </c>
      <c r="B36">
        <v>0</v>
      </c>
      <c r="C36">
        <v>1</v>
      </c>
      <c r="D36">
        <v>3</v>
      </c>
      <c r="E36">
        <v>5</v>
      </c>
      <c r="F36">
        <v>6</v>
      </c>
      <c r="G36">
        <v>8</v>
      </c>
      <c r="H36">
        <v>10</v>
      </c>
      <c r="K36">
        <f t="shared" ref="K36:Q38" si="25">MOD(B36+$K$34,12)</f>
        <v>5</v>
      </c>
      <c r="L36">
        <f t="shared" si="25"/>
        <v>6</v>
      </c>
      <c r="M36">
        <f t="shared" si="25"/>
        <v>8</v>
      </c>
      <c r="N36">
        <f t="shared" si="25"/>
        <v>10</v>
      </c>
      <c r="O36">
        <f t="shared" si="25"/>
        <v>11</v>
      </c>
      <c r="P36">
        <f t="shared" si="25"/>
        <v>1</v>
      </c>
      <c r="Q36">
        <f t="shared" si="25"/>
        <v>3</v>
      </c>
      <c r="R36">
        <f t="shared" ref="R36:W38" si="26">K36</f>
        <v>5</v>
      </c>
      <c r="S36">
        <f t="shared" si="26"/>
        <v>6</v>
      </c>
      <c r="T36">
        <f t="shared" si="26"/>
        <v>8</v>
      </c>
      <c r="U36">
        <f t="shared" si="26"/>
        <v>10</v>
      </c>
      <c r="V36">
        <f t="shared" si="26"/>
        <v>11</v>
      </c>
      <c r="W36">
        <f t="shared" si="26"/>
        <v>1</v>
      </c>
    </row>
    <row r="37" spans="1:24" x14ac:dyDescent="0.5">
      <c r="A37" t="s">
        <v>10</v>
      </c>
      <c r="B37">
        <v>0</v>
      </c>
      <c r="C37">
        <v>1</v>
      </c>
      <c r="D37">
        <v>3</v>
      </c>
      <c r="E37">
        <v>5</v>
      </c>
      <c r="F37">
        <v>7</v>
      </c>
      <c r="G37">
        <v>8</v>
      </c>
      <c r="H37">
        <v>10</v>
      </c>
      <c r="K37">
        <f t="shared" si="25"/>
        <v>5</v>
      </c>
      <c r="L37">
        <f t="shared" si="25"/>
        <v>6</v>
      </c>
      <c r="M37">
        <f t="shared" si="25"/>
        <v>8</v>
      </c>
      <c r="N37">
        <f t="shared" si="25"/>
        <v>10</v>
      </c>
      <c r="O37">
        <f t="shared" si="25"/>
        <v>0</v>
      </c>
      <c r="P37">
        <f t="shared" si="25"/>
        <v>1</v>
      </c>
      <c r="Q37">
        <f t="shared" si="25"/>
        <v>3</v>
      </c>
      <c r="R37">
        <f t="shared" si="26"/>
        <v>5</v>
      </c>
      <c r="S37">
        <f t="shared" si="26"/>
        <v>6</v>
      </c>
      <c r="T37">
        <f t="shared" si="26"/>
        <v>8</v>
      </c>
      <c r="U37">
        <f t="shared" si="26"/>
        <v>10</v>
      </c>
      <c r="V37">
        <f t="shared" si="26"/>
        <v>0</v>
      </c>
      <c r="W37">
        <f t="shared" si="26"/>
        <v>1</v>
      </c>
    </row>
    <row r="38" spans="1:24" x14ac:dyDescent="0.5">
      <c r="A38" t="s">
        <v>13</v>
      </c>
      <c r="B38">
        <v>0</v>
      </c>
      <c r="C38">
        <v>2</v>
      </c>
      <c r="D38">
        <v>3</v>
      </c>
      <c r="E38">
        <v>5</v>
      </c>
      <c r="F38">
        <v>7</v>
      </c>
      <c r="G38">
        <v>8</v>
      </c>
      <c r="H38">
        <v>10</v>
      </c>
      <c r="K38">
        <f t="shared" si="25"/>
        <v>5</v>
      </c>
      <c r="L38">
        <f t="shared" si="25"/>
        <v>7</v>
      </c>
      <c r="M38">
        <f t="shared" si="25"/>
        <v>8</v>
      </c>
      <c r="N38">
        <f t="shared" si="25"/>
        <v>10</v>
      </c>
      <c r="O38">
        <f t="shared" si="25"/>
        <v>0</v>
      </c>
      <c r="P38">
        <f t="shared" si="25"/>
        <v>1</v>
      </c>
      <c r="Q38">
        <f t="shared" si="25"/>
        <v>3</v>
      </c>
      <c r="R38">
        <f t="shared" si="26"/>
        <v>5</v>
      </c>
      <c r="S38">
        <f t="shared" si="26"/>
        <v>7</v>
      </c>
      <c r="T38">
        <f t="shared" si="26"/>
        <v>8</v>
      </c>
      <c r="U38">
        <f t="shared" si="26"/>
        <v>10</v>
      </c>
      <c r="V38">
        <f t="shared" si="26"/>
        <v>0</v>
      </c>
      <c r="W38">
        <f t="shared" si="26"/>
        <v>1</v>
      </c>
    </row>
    <row r="39" spans="1:24" x14ac:dyDescent="0.5">
      <c r="A39" t="s">
        <v>9</v>
      </c>
      <c r="B39">
        <v>0</v>
      </c>
      <c r="C39">
        <v>2</v>
      </c>
      <c r="D39">
        <v>3</v>
      </c>
      <c r="E39">
        <v>5</v>
      </c>
      <c r="F39">
        <v>7</v>
      </c>
      <c r="G39">
        <v>9</v>
      </c>
      <c r="H39">
        <v>10</v>
      </c>
      <c r="K39">
        <f t="shared" ref="K39:P42" si="27">MOD(B39+$K$34,12)</f>
        <v>5</v>
      </c>
      <c r="L39">
        <f t="shared" si="27"/>
        <v>7</v>
      </c>
      <c r="M39">
        <f t="shared" si="27"/>
        <v>8</v>
      </c>
      <c r="N39">
        <f t="shared" si="27"/>
        <v>10</v>
      </c>
      <c r="O39">
        <f t="shared" si="27"/>
        <v>0</v>
      </c>
      <c r="P39">
        <f t="shared" si="27"/>
        <v>2</v>
      </c>
      <c r="Q39">
        <f t="shared" ref="Q39" si="28">MOD(H39+$K$34,12)</f>
        <v>3</v>
      </c>
      <c r="R39">
        <f t="shared" ref="R39" si="29">K39</f>
        <v>5</v>
      </c>
      <c r="S39">
        <f t="shared" ref="S39:W39" si="30">L39</f>
        <v>7</v>
      </c>
      <c r="T39">
        <f t="shared" si="30"/>
        <v>8</v>
      </c>
      <c r="U39">
        <f t="shared" si="30"/>
        <v>10</v>
      </c>
      <c r="V39">
        <f t="shared" si="30"/>
        <v>0</v>
      </c>
      <c r="W39">
        <f t="shared" si="30"/>
        <v>2</v>
      </c>
    </row>
    <row r="40" spans="1:24" x14ac:dyDescent="0.5">
      <c r="A40" t="s">
        <v>53</v>
      </c>
      <c r="B40">
        <v>0</v>
      </c>
      <c r="C40">
        <v>2</v>
      </c>
      <c r="D40">
        <v>4</v>
      </c>
      <c r="E40">
        <v>5</v>
      </c>
      <c r="F40">
        <v>7</v>
      </c>
      <c r="G40">
        <v>9</v>
      </c>
      <c r="H40">
        <v>10</v>
      </c>
      <c r="K40">
        <f t="shared" si="27"/>
        <v>5</v>
      </c>
      <c r="L40">
        <f t="shared" si="27"/>
        <v>7</v>
      </c>
      <c r="M40">
        <f t="shared" si="27"/>
        <v>9</v>
      </c>
      <c r="N40">
        <f t="shared" si="27"/>
        <v>10</v>
      </c>
      <c r="O40">
        <f t="shared" si="27"/>
        <v>0</v>
      </c>
      <c r="P40">
        <f t="shared" si="27"/>
        <v>2</v>
      </c>
      <c r="Q40">
        <f>MOD(H40+$K$34,12)</f>
        <v>3</v>
      </c>
      <c r="R40">
        <f t="shared" ref="R40:W42" si="31">K40</f>
        <v>5</v>
      </c>
      <c r="S40">
        <f t="shared" si="31"/>
        <v>7</v>
      </c>
      <c r="T40">
        <f t="shared" si="31"/>
        <v>9</v>
      </c>
      <c r="U40">
        <f t="shared" si="31"/>
        <v>10</v>
      </c>
      <c r="V40">
        <f t="shared" si="31"/>
        <v>0</v>
      </c>
      <c r="W40">
        <f t="shared" si="31"/>
        <v>2</v>
      </c>
    </row>
    <row r="41" spans="1:24" x14ac:dyDescent="0.5">
      <c r="A41" t="s">
        <v>52</v>
      </c>
      <c r="B41">
        <v>0</v>
      </c>
      <c r="C41">
        <v>2</v>
      </c>
      <c r="D41">
        <v>4</v>
      </c>
      <c r="E41">
        <v>5</v>
      </c>
      <c r="F41">
        <v>7</v>
      </c>
      <c r="G41">
        <v>9</v>
      </c>
      <c r="H41">
        <v>11</v>
      </c>
      <c r="K41">
        <f t="shared" si="27"/>
        <v>5</v>
      </c>
      <c r="L41">
        <f t="shared" si="27"/>
        <v>7</v>
      </c>
      <c r="M41">
        <f t="shared" si="27"/>
        <v>9</v>
      </c>
      <c r="N41">
        <f t="shared" si="27"/>
        <v>10</v>
      </c>
      <c r="O41">
        <f t="shared" si="27"/>
        <v>0</v>
      </c>
      <c r="P41">
        <f t="shared" si="27"/>
        <v>2</v>
      </c>
      <c r="Q41">
        <f>MOD(H41+$K$34,12)</f>
        <v>4</v>
      </c>
      <c r="R41">
        <f t="shared" si="31"/>
        <v>5</v>
      </c>
      <c r="S41">
        <f t="shared" si="31"/>
        <v>7</v>
      </c>
      <c r="T41">
        <f t="shared" si="31"/>
        <v>9</v>
      </c>
      <c r="U41">
        <f t="shared" si="31"/>
        <v>10</v>
      </c>
      <c r="V41">
        <f t="shared" si="31"/>
        <v>0</v>
      </c>
      <c r="W41">
        <f t="shared" si="31"/>
        <v>2</v>
      </c>
    </row>
    <row r="42" spans="1:24" x14ac:dyDescent="0.5">
      <c r="A42" t="s">
        <v>11</v>
      </c>
      <c r="B42">
        <v>0</v>
      </c>
      <c r="C42">
        <v>2</v>
      </c>
      <c r="D42">
        <v>4</v>
      </c>
      <c r="E42">
        <v>6</v>
      </c>
      <c r="F42">
        <v>7</v>
      </c>
      <c r="G42">
        <v>9</v>
      </c>
      <c r="H42">
        <v>11</v>
      </c>
      <c r="K42">
        <f t="shared" si="27"/>
        <v>5</v>
      </c>
      <c r="L42">
        <f t="shared" si="27"/>
        <v>7</v>
      </c>
      <c r="M42">
        <f t="shared" si="27"/>
        <v>9</v>
      </c>
      <c r="N42">
        <f t="shared" si="27"/>
        <v>11</v>
      </c>
      <c r="O42">
        <f t="shared" si="27"/>
        <v>0</v>
      </c>
      <c r="P42">
        <f t="shared" si="27"/>
        <v>2</v>
      </c>
      <c r="Q42">
        <f>MOD(H42+$K$34,12)</f>
        <v>4</v>
      </c>
      <c r="R42">
        <f t="shared" si="31"/>
        <v>5</v>
      </c>
      <c r="S42">
        <f t="shared" si="31"/>
        <v>7</v>
      </c>
      <c r="T42">
        <f t="shared" si="31"/>
        <v>9</v>
      </c>
      <c r="U42">
        <f t="shared" si="31"/>
        <v>11</v>
      </c>
      <c r="V42">
        <f t="shared" si="31"/>
        <v>0</v>
      </c>
      <c r="W42">
        <f t="shared" si="31"/>
        <v>2</v>
      </c>
    </row>
    <row r="44" spans="1:24" ht="14.7" thickBot="1" x14ac:dyDescent="0.55000000000000004"/>
    <row r="45" spans="1:24" ht="14.7" thickBot="1" x14ac:dyDescent="0.55000000000000004">
      <c r="A45" s="39" t="s">
        <v>48</v>
      </c>
      <c r="B45" s="29" t="s">
        <v>37</v>
      </c>
      <c r="C45" s="35" t="s">
        <v>50</v>
      </c>
      <c r="D45" s="37" t="s">
        <v>51</v>
      </c>
      <c r="E45" s="41" t="s">
        <v>14</v>
      </c>
      <c r="F45" s="30" t="s">
        <v>10</v>
      </c>
      <c r="G45" s="30" t="s">
        <v>9</v>
      </c>
      <c r="H45" s="30" t="s">
        <v>12</v>
      </c>
      <c r="I45" s="31" t="s">
        <v>11</v>
      </c>
    </row>
    <row r="46" spans="1:24" ht="14.7" thickBot="1" x14ac:dyDescent="0.55000000000000004">
      <c r="A46" s="28">
        <v>-5</v>
      </c>
      <c r="B46" s="33" t="s">
        <v>47</v>
      </c>
      <c r="C46" s="22" t="s">
        <v>29</v>
      </c>
      <c r="D46" s="25" t="s">
        <v>33</v>
      </c>
      <c r="E46" s="32" t="s">
        <v>2</v>
      </c>
      <c r="F46" s="20" t="s">
        <v>5</v>
      </c>
      <c r="G46" s="20" t="s">
        <v>30</v>
      </c>
      <c r="H46" s="20" t="s">
        <v>32</v>
      </c>
      <c r="I46" s="43" t="s">
        <v>31</v>
      </c>
      <c r="J46">
        <v>0</v>
      </c>
      <c r="K46">
        <v>1</v>
      </c>
      <c r="L46">
        <v>3</v>
      </c>
      <c r="M46">
        <v>5</v>
      </c>
      <c r="N46">
        <v>6</v>
      </c>
      <c r="O46">
        <v>8</v>
      </c>
      <c r="P46">
        <v>10</v>
      </c>
      <c r="X46" s="44"/>
    </row>
    <row r="47" spans="1:24" ht="14.7" thickBot="1" x14ac:dyDescent="0.55000000000000004">
      <c r="A47" s="28">
        <v>-4</v>
      </c>
      <c r="B47" s="33" t="s">
        <v>46</v>
      </c>
      <c r="C47" s="22" t="s">
        <v>32</v>
      </c>
      <c r="D47" s="25" t="s">
        <v>5</v>
      </c>
      <c r="E47" s="32" t="s">
        <v>6</v>
      </c>
      <c r="F47" s="20" t="s">
        <v>2</v>
      </c>
      <c r="G47" s="20" t="s">
        <v>33</v>
      </c>
      <c r="H47" s="20" t="s">
        <v>30</v>
      </c>
      <c r="I47" s="43" t="s">
        <v>29</v>
      </c>
      <c r="J47">
        <v>0</v>
      </c>
      <c r="K47">
        <v>1</v>
      </c>
      <c r="L47">
        <v>3</v>
      </c>
      <c r="M47">
        <v>5</v>
      </c>
      <c r="N47">
        <v>7</v>
      </c>
      <c r="O47">
        <v>8</v>
      </c>
      <c r="P47">
        <v>10</v>
      </c>
      <c r="Q47">
        <v>0</v>
      </c>
      <c r="R47">
        <v>1</v>
      </c>
      <c r="S47">
        <v>3</v>
      </c>
      <c r="T47">
        <v>5</v>
      </c>
      <c r="U47">
        <v>7</v>
      </c>
      <c r="V47">
        <v>8</v>
      </c>
      <c r="W47">
        <v>10</v>
      </c>
    </row>
    <row r="48" spans="1:24" ht="14.7" thickBot="1" x14ac:dyDescent="0.55000000000000004">
      <c r="A48" s="28">
        <v>-3</v>
      </c>
      <c r="B48" s="33" t="s">
        <v>45</v>
      </c>
      <c r="C48" s="22" t="s">
        <v>30</v>
      </c>
      <c r="D48" s="25" t="s">
        <v>2</v>
      </c>
      <c r="E48" s="32" t="s">
        <v>3</v>
      </c>
      <c r="F48" s="20" t="s">
        <v>6</v>
      </c>
      <c r="G48" s="20" t="s">
        <v>5</v>
      </c>
      <c r="H48" s="20" t="s">
        <v>33</v>
      </c>
      <c r="I48" s="43" t="s">
        <v>32</v>
      </c>
      <c r="J48">
        <v>0</v>
      </c>
      <c r="K48">
        <v>2</v>
      </c>
      <c r="L48">
        <v>3</v>
      </c>
      <c r="M48">
        <v>5</v>
      </c>
      <c r="N48">
        <v>7</v>
      </c>
      <c r="O48">
        <v>8</v>
      </c>
      <c r="P48">
        <v>10</v>
      </c>
      <c r="Q48">
        <v>0</v>
      </c>
      <c r="R48">
        <v>2</v>
      </c>
      <c r="S48">
        <v>3</v>
      </c>
      <c r="T48">
        <v>5</v>
      </c>
      <c r="U48">
        <v>7</v>
      </c>
      <c r="V48">
        <v>8</v>
      </c>
      <c r="W48">
        <v>10</v>
      </c>
    </row>
    <row r="49" spans="1:23" ht="14.7" thickBot="1" x14ac:dyDescent="0.55000000000000004">
      <c r="A49" s="28">
        <v>-2</v>
      </c>
      <c r="B49" s="33" t="s">
        <v>44</v>
      </c>
      <c r="C49" s="22" t="s">
        <v>33</v>
      </c>
      <c r="D49" s="25" t="s">
        <v>6</v>
      </c>
      <c r="E49" s="32" t="s">
        <v>7</v>
      </c>
      <c r="F49" s="20" t="s">
        <v>3</v>
      </c>
      <c r="G49" s="20" t="s">
        <v>2</v>
      </c>
      <c r="H49" s="20" t="s">
        <v>5</v>
      </c>
      <c r="I49" s="43" t="s">
        <v>30</v>
      </c>
      <c r="J49">
        <v>0</v>
      </c>
      <c r="K49">
        <v>2</v>
      </c>
      <c r="L49">
        <v>3</v>
      </c>
      <c r="M49">
        <v>5</v>
      </c>
      <c r="N49">
        <v>7</v>
      </c>
      <c r="O49">
        <v>9</v>
      </c>
      <c r="P49">
        <v>10</v>
      </c>
      <c r="Q49">
        <v>0</v>
      </c>
      <c r="R49">
        <v>2</v>
      </c>
      <c r="S49">
        <v>3</v>
      </c>
      <c r="T49">
        <v>5</v>
      </c>
      <c r="U49">
        <v>7</v>
      </c>
      <c r="V49">
        <v>9</v>
      </c>
      <c r="W49">
        <v>10</v>
      </c>
    </row>
    <row r="50" spans="1:23" ht="14.7" thickBot="1" x14ac:dyDescent="0.55000000000000004">
      <c r="A50" s="28">
        <v>-1</v>
      </c>
      <c r="B50" s="33" t="s">
        <v>43</v>
      </c>
      <c r="C50" s="22" t="s">
        <v>5</v>
      </c>
      <c r="D50" s="25" t="s">
        <v>3</v>
      </c>
      <c r="E50" s="32" t="s">
        <v>4</v>
      </c>
      <c r="F50" s="20" t="s">
        <v>7</v>
      </c>
      <c r="G50" s="20" t="s">
        <v>6</v>
      </c>
      <c r="H50" s="20" t="s">
        <v>2</v>
      </c>
      <c r="I50" s="43" t="s">
        <v>33</v>
      </c>
      <c r="J50">
        <v>0</v>
      </c>
      <c r="K50">
        <v>2</v>
      </c>
      <c r="L50">
        <v>4</v>
      </c>
      <c r="M50">
        <v>5</v>
      </c>
      <c r="N50">
        <v>7</v>
      </c>
      <c r="O50">
        <v>9</v>
      </c>
      <c r="P50">
        <v>10</v>
      </c>
      <c r="Q50">
        <v>0</v>
      </c>
      <c r="R50">
        <v>2</v>
      </c>
      <c r="S50">
        <v>4</v>
      </c>
      <c r="T50">
        <v>5</v>
      </c>
      <c r="U50">
        <v>7</v>
      </c>
      <c r="V50">
        <v>9</v>
      </c>
      <c r="W50">
        <v>10</v>
      </c>
    </row>
    <row r="51" spans="1:23" ht="14.7" thickBot="1" x14ac:dyDescent="0.55000000000000004">
      <c r="A51" s="28">
        <v>0</v>
      </c>
      <c r="B51" s="33"/>
      <c r="C51" s="22" t="s">
        <v>2</v>
      </c>
      <c r="D51" s="25" t="s">
        <v>7</v>
      </c>
      <c r="E51" s="32" t="s">
        <v>0</v>
      </c>
      <c r="F51" s="20" t="s">
        <v>4</v>
      </c>
      <c r="G51" s="20" t="s">
        <v>3</v>
      </c>
      <c r="H51" s="20" t="s">
        <v>6</v>
      </c>
      <c r="I51" s="43" t="s">
        <v>5</v>
      </c>
      <c r="J51">
        <v>0</v>
      </c>
      <c r="K51">
        <v>2</v>
      </c>
      <c r="L51">
        <v>4</v>
      </c>
      <c r="M51">
        <v>5</v>
      </c>
      <c r="N51">
        <v>7</v>
      </c>
      <c r="O51">
        <v>9</v>
      </c>
      <c r="P51">
        <v>11</v>
      </c>
      <c r="Q51">
        <v>0</v>
      </c>
      <c r="R51">
        <v>2</v>
      </c>
      <c r="S51">
        <v>4</v>
      </c>
      <c r="T51">
        <v>5</v>
      </c>
      <c r="U51">
        <v>7</v>
      </c>
      <c r="V51">
        <v>9</v>
      </c>
      <c r="W51">
        <v>11</v>
      </c>
    </row>
    <row r="52" spans="1:23" ht="14.7" thickBot="1" x14ac:dyDescent="0.55000000000000004">
      <c r="A52" s="28">
        <v>1</v>
      </c>
      <c r="B52" s="33" t="s">
        <v>1</v>
      </c>
      <c r="C52" s="22" t="s">
        <v>6</v>
      </c>
      <c r="D52" s="25" t="s">
        <v>4</v>
      </c>
      <c r="E52" s="32" t="s">
        <v>31</v>
      </c>
      <c r="F52" s="20" t="s">
        <v>0</v>
      </c>
      <c r="G52" s="20" t="s">
        <v>7</v>
      </c>
      <c r="H52" s="20" t="s">
        <v>3</v>
      </c>
      <c r="I52" s="43" t="s">
        <v>2</v>
      </c>
      <c r="J52">
        <v>0</v>
      </c>
      <c r="K52">
        <v>2</v>
      </c>
      <c r="L52">
        <v>4</v>
      </c>
      <c r="M52">
        <v>6</v>
      </c>
      <c r="N52">
        <v>7</v>
      </c>
      <c r="O52">
        <v>9</v>
      </c>
      <c r="P52">
        <v>11</v>
      </c>
      <c r="Q52">
        <v>0</v>
      </c>
      <c r="R52">
        <v>2</v>
      </c>
      <c r="S52">
        <v>4</v>
      </c>
      <c r="T52">
        <v>6</v>
      </c>
      <c r="U52">
        <v>7</v>
      </c>
      <c r="V52">
        <v>9</v>
      </c>
      <c r="W52">
        <v>11</v>
      </c>
    </row>
    <row r="53" spans="1:23" ht="14.7" thickBot="1" x14ac:dyDescent="0.55000000000000004">
      <c r="A53" s="28">
        <v>2</v>
      </c>
      <c r="B53" s="33" t="s">
        <v>38</v>
      </c>
      <c r="C53" s="22" t="s">
        <v>3</v>
      </c>
      <c r="D53" s="25" t="s">
        <v>0</v>
      </c>
      <c r="E53" s="32" t="s">
        <v>29</v>
      </c>
      <c r="F53" s="20" t="s">
        <v>31</v>
      </c>
      <c r="G53" s="20" t="s">
        <v>4</v>
      </c>
      <c r="H53" s="20" t="s">
        <v>7</v>
      </c>
      <c r="I53" s="24" t="s">
        <v>6</v>
      </c>
      <c r="J53">
        <v>1</v>
      </c>
      <c r="K53">
        <v>2</v>
      </c>
      <c r="L53">
        <v>4</v>
      </c>
      <c r="M53">
        <v>6</v>
      </c>
      <c r="N53">
        <v>7</v>
      </c>
      <c r="O53">
        <v>9</v>
      </c>
      <c r="P53">
        <v>11</v>
      </c>
      <c r="Q53">
        <v>1</v>
      </c>
      <c r="R53">
        <v>2</v>
      </c>
      <c r="S53">
        <v>4</v>
      </c>
      <c r="T53">
        <v>6</v>
      </c>
      <c r="U53">
        <v>7</v>
      </c>
      <c r="V53">
        <v>9</v>
      </c>
      <c r="W53">
        <v>11</v>
      </c>
    </row>
    <row r="54" spans="1:23" ht="14.7" thickBot="1" x14ac:dyDescent="0.55000000000000004">
      <c r="A54" s="28">
        <v>3</v>
      </c>
      <c r="B54" s="33" t="s">
        <v>39</v>
      </c>
      <c r="C54" s="22" t="s">
        <v>7</v>
      </c>
      <c r="D54" s="25" t="s">
        <v>31</v>
      </c>
      <c r="E54" s="32" t="s">
        <v>32</v>
      </c>
      <c r="F54" s="20" t="s">
        <v>29</v>
      </c>
      <c r="G54" s="20" t="s">
        <v>0</v>
      </c>
      <c r="H54" s="20" t="s">
        <v>4</v>
      </c>
      <c r="I54" s="24" t="s">
        <v>3</v>
      </c>
      <c r="J54">
        <v>1</v>
      </c>
      <c r="K54">
        <v>2</v>
      </c>
      <c r="L54">
        <v>4</v>
      </c>
      <c r="M54">
        <v>6</v>
      </c>
      <c r="N54">
        <v>8</v>
      </c>
      <c r="O54">
        <v>9</v>
      </c>
      <c r="P54">
        <v>11</v>
      </c>
    </row>
    <row r="55" spans="1:23" ht="14.7" thickBot="1" x14ac:dyDescent="0.55000000000000004">
      <c r="A55" s="28">
        <v>4</v>
      </c>
      <c r="B55" s="33" t="s">
        <v>40</v>
      </c>
      <c r="C55" s="22" t="s">
        <v>4</v>
      </c>
      <c r="D55" s="25" t="s">
        <v>29</v>
      </c>
      <c r="E55" s="32" t="s">
        <v>30</v>
      </c>
      <c r="F55" s="20" t="s">
        <v>32</v>
      </c>
      <c r="G55" s="20" t="s">
        <v>31</v>
      </c>
      <c r="H55" s="20" t="s">
        <v>0</v>
      </c>
      <c r="I55" s="24" t="s">
        <v>7</v>
      </c>
      <c r="J55">
        <v>1</v>
      </c>
      <c r="K55">
        <v>3</v>
      </c>
      <c r="L55">
        <v>4</v>
      </c>
      <c r="M55">
        <v>6</v>
      </c>
      <c r="N55">
        <v>8</v>
      </c>
      <c r="O55">
        <v>9</v>
      </c>
      <c r="P55">
        <v>11</v>
      </c>
    </row>
    <row r="56" spans="1:23" ht="14.7" thickBot="1" x14ac:dyDescent="0.55000000000000004">
      <c r="A56" s="28">
        <v>5</v>
      </c>
      <c r="B56" s="33" t="s">
        <v>41</v>
      </c>
      <c r="C56" s="22" t="s">
        <v>0</v>
      </c>
      <c r="D56" s="25" t="s">
        <v>32</v>
      </c>
      <c r="E56" s="32" t="s">
        <v>33</v>
      </c>
      <c r="F56" s="20" t="s">
        <v>30</v>
      </c>
      <c r="G56" s="20" t="s">
        <v>29</v>
      </c>
      <c r="H56" s="20" t="s">
        <v>31</v>
      </c>
      <c r="I56" s="24" t="s">
        <v>4</v>
      </c>
      <c r="J56">
        <v>1</v>
      </c>
      <c r="K56">
        <v>3</v>
      </c>
      <c r="L56">
        <v>4</v>
      </c>
      <c r="M56">
        <v>6</v>
      </c>
      <c r="N56">
        <v>8</v>
      </c>
      <c r="O56">
        <v>10</v>
      </c>
      <c r="P56">
        <v>11</v>
      </c>
    </row>
    <row r="57" spans="1:23" ht="14.7" thickBot="1" x14ac:dyDescent="0.55000000000000004">
      <c r="A57" s="40">
        <v>6</v>
      </c>
      <c r="B57" s="34" t="s">
        <v>42</v>
      </c>
      <c r="C57" s="36" t="s">
        <v>31</v>
      </c>
      <c r="D57" s="38" t="s">
        <v>30</v>
      </c>
      <c r="E57" s="42" t="s">
        <v>34</v>
      </c>
      <c r="F57" s="23" t="s">
        <v>33</v>
      </c>
      <c r="G57" s="23" t="s">
        <v>32</v>
      </c>
      <c r="H57" s="23" t="s">
        <v>29</v>
      </c>
      <c r="I57" s="27" t="s">
        <v>0</v>
      </c>
      <c r="J57">
        <v>1</v>
      </c>
      <c r="K57">
        <v>3</v>
      </c>
      <c r="L57">
        <v>5</v>
      </c>
      <c r="M57">
        <v>6</v>
      </c>
      <c r="N57">
        <v>8</v>
      </c>
      <c r="O57">
        <v>10</v>
      </c>
      <c r="P57">
        <v>11</v>
      </c>
    </row>
    <row r="60" spans="1:23" ht="14.7" thickBot="1" x14ac:dyDescent="0.55000000000000004">
      <c r="K60" s="296" t="s">
        <v>49</v>
      </c>
      <c r="L60" s="297"/>
      <c r="M60" s="297"/>
      <c r="N60" s="297"/>
      <c r="O60" s="297"/>
      <c r="P60" s="297"/>
      <c r="Q60" s="297"/>
    </row>
    <row r="61" spans="1:23" ht="14.7" thickBot="1" x14ac:dyDescent="0.55000000000000004">
      <c r="A61" s="39" t="s">
        <v>48</v>
      </c>
      <c r="B61" s="29" t="s">
        <v>37</v>
      </c>
      <c r="C61" s="35" t="s">
        <v>50</v>
      </c>
      <c r="D61" s="37" t="s">
        <v>51</v>
      </c>
      <c r="E61" s="41" t="s">
        <v>14</v>
      </c>
      <c r="F61" s="30" t="s">
        <v>10</v>
      </c>
      <c r="G61" s="30" t="s">
        <v>9</v>
      </c>
      <c r="H61" s="30" t="s">
        <v>12</v>
      </c>
      <c r="I61" s="31" t="s">
        <v>11</v>
      </c>
      <c r="K61" s="20" t="s">
        <v>2</v>
      </c>
      <c r="L61" s="20" t="s">
        <v>3</v>
      </c>
      <c r="M61" s="20" t="s">
        <v>4</v>
      </c>
      <c r="N61" s="20" t="s">
        <v>5</v>
      </c>
      <c r="O61" s="20" t="s">
        <v>6</v>
      </c>
      <c r="P61" s="20" t="s">
        <v>7</v>
      </c>
      <c r="Q61" s="20" t="s">
        <v>0</v>
      </c>
    </row>
    <row r="62" spans="1:23" ht="14.7" thickBot="1" x14ac:dyDescent="0.55000000000000004">
      <c r="A62" s="28">
        <v>-5</v>
      </c>
      <c r="B62" s="33" t="s">
        <v>47</v>
      </c>
      <c r="C62" s="52" t="s">
        <v>19</v>
      </c>
      <c r="D62" s="53" t="s">
        <v>16</v>
      </c>
      <c r="E62" s="32" t="s">
        <v>2</v>
      </c>
      <c r="F62" s="20" t="s">
        <v>5</v>
      </c>
      <c r="G62" s="54" t="s">
        <v>17</v>
      </c>
      <c r="H62" s="54" t="s">
        <v>18</v>
      </c>
      <c r="I62" s="55" t="s">
        <v>20</v>
      </c>
      <c r="K62" s="58" t="s">
        <v>14</v>
      </c>
      <c r="L62" s="60" t="s">
        <v>8</v>
      </c>
      <c r="M62" s="57" t="s">
        <v>9</v>
      </c>
      <c r="N62" s="58" t="s">
        <v>10</v>
      </c>
      <c r="O62" s="57" t="s">
        <v>11</v>
      </c>
      <c r="P62" s="57" t="s">
        <v>12</v>
      </c>
      <c r="Q62" s="60" t="s">
        <v>13</v>
      </c>
    </row>
    <row r="63" spans="1:23" ht="14.7" thickBot="1" x14ac:dyDescent="0.55000000000000004">
      <c r="A63" s="28">
        <v>-4</v>
      </c>
      <c r="B63" s="33" t="s">
        <v>46</v>
      </c>
      <c r="C63" s="52" t="s">
        <v>18</v>
      </c>
      <c r="D63" s="25" t="s">
        <v>5</v>
      </c>
      <c r="E63" s="32" t="s">
        <v>6</v>
      </c>
      <c r="F63" s="20" t="s">
        <v>2</v>
      </c>
      <c r="G63" s="54" t="s">
        <v>16</v>
      </c>
      <c r="H63" s="54" t="s">
        <v>17</v>
      </c>
      <c r="I63" s="55" t="s">
        <v>19</v>
      </c>
      <c r="K63" s="58" t="s">
        <v>10</v>
      </c>
      <c r="L63" s="57" t="s">
        <v>11</v>
      </c>
      <c r="M63" s="57" t="s">
        <v>12</v>
      </c>
      <c r="N63" s="59" t="s">
        <v>13</v>
      </c>
      <c r="O63" s="58" t="s">
        <v>14</v>
      </c>
      <c r="P63" s="60" t="s">
        <v>8</v>
      </c>
      <c r="Q63" s="57" t="s">
        <v>9</v>
      </c>
    </row>
    <row r="64" spans="1:23" ht="14.7" thickBot="1" x14ac:dyDescent="0.55000000000000004">
      <c r="A64" s="28">
        <v>-3</v>
      </c>
      <c r="B64" s="33" t="s">
        <v>45</v>
      </c>
      <c r="C64" s="52" t="s">
        <v>17</v>
      </c>
      <c r="D64" s="25" t="s">
        <v>2</v>
      </c>
      <c r="E64" s="32" t="s">
        <v>3</v>
      </c>
      <c r="F64" s="20" t="s">
        <v>6</v>
      </c>
      <c r="G64" s="20" t="s">
        <v>5</v>
      </c>
      <c r="H64" s="54" t="s">
        <v>16</v>
      </c>
      <c r="I64" s="55" t="s">
        <v>18</v>
      </c>
      <c r="K64" s="59" t="s">
        <v>13</v>
      </c>
      <c r="L64" s="58" t="s">
        <v>14</v>
      </c>
      <c r="M64" s="60" t="s">
        <v>8</v>
      </c>
      <c r="N64" s="58" t="s">
        <v>9</v>
      </c>
      <c r="O64" s="58" t="s">
        <v>10</v>
      </c>
      <c r="P64" s="57" t="s">
        <v>11</v>
      </c>
      <c r="Q64" s="57" t="s">
        <v>12</v>
      </c>
    </row>
    <row r="65" spans="1:17" ht="14.7" thickBot="1" x14ac:dyDescent="0.55000000000000004">
      <c r="A65" s="28">
        <v>-2</v>
      </c>
      <c r="B65" s="33" t="s">
        <v>44</v>
      </c>
      <c r="C65" s="52" t="s">
        <v>16</v>
      </c>
      <c r="D65" s="25" t="s">
        <v>6</v>
      </c>
      <c r="E65" s="32" t="s">
        <v>7</v>
      </c>
      <c r="F65" s="20" t="s">
        <v>3</v>
      </c>
      <c r="G65" s="20" t="s">
        <v>2</v>
      </c>
      <c r="H65" s="20" t="s">
        <v>5</v>
      </c>
      <c r="I65" s="55" t="s">
        <v>17</v>
      </c>
      <c r="K65" s="58" t="s">
        <v>9</v>
      </c>
      <c r="L65" s="58" t="s">
        <v>10</v>
      </c>
      <c r="M65" s="57" t="s">
        <v>11</v>
      </c>
      <c r="N65" s="58" t="s">
        <v>12</v>
      </c>
      <c r="O65" s="59" t="s">
        <v>13</v>
      </c>
      <c r="P65" s="58" t="s">
        <v>14</v>
      </c>
      <c r="Q65" s="60" t="s">
        <v>8</v>
      </c>
    </row>
    <row r="66" spans="1:17" ht="14.7" thickBot="1" x14ac:dyDescent="0.55000000000000004">
      <c r="A66" s="28">
        <v>-1</v>
      </c>
      <c r="B66" s="33" t="s">
        <v>43</v>
      </c>
      <c r="C66" s="22" t="s">
        <v>5</v>
      </c>
      <c r="D66" s="25" t="s">
        <v>3</v>
      </c>
      <c r="E66" s="32" t="s">
        <v>4</v>
      </c>
      <c r="F66" s="20" t="s">
        <v>7</v>
      </c>
      <c r="G66" s="20" t="s">
        <v>6</v>
      </c>
      <c r="H66" s="20" t="s">
        <v>2</v>
      </c>
      <c r="I66" s="55" t="s">
        <v>16</v>
      </c>
      <c r="K66" s="58" t="s">
        <v>12</v>
      </c>
      <c r="L66" s="59" t="s">
        <v>13</v>
      </c>
      <c r="M66" s="58" t="s">
        <v>14</v>
      </c>
      <c r="N66" s="59" t="s">
        <v>8</v>
      </c>
      <c r="O66" s="58" t="s">
        <v>9</v>
      </c>
      <c r="P66" s="58" t="s">
        <v>10</v>
      </c>
      <c r="Q66" s="57" t="s">
        <v>11</v>
      </c>
    </row>
    <row r="67" spans="1:17" ht="14.7" thickBot="1" x14ac:dyDescent="0.55000000000000004">
      <c r="A67" s="28">
        <v>0</v>
      </c>
      <c r="B67" s="33"/>
      <c r="C67" s="22" t="s">
        <v>2</v>
      </c>
      <c r="D67" s="25" t="s">
        <v>7</v>
      </c>
      <c r="E67" s="32" t="s">
        <v>0</v>
      </c>
      <c r="F67" s="20" t="s">
        <v>4</v>
      </c>
      <c r="G67" s="20" t="s">
        <v>3</v>
      </c>
      <c r="H67" s="20" t="s">
        <v>6</v>
      </c>
      <c r="I67" s="43" t="s">
        <v>5</v>
      </c>
      <c r="K67" s="59" t="s">
        <v>8</v>
      </c>
      <c r="L67" s="58" t="s">
        <v>9</v>
      </c>
      <c r="M67" s="58" t="s">
        <v>10</v>
      </c>
      <c r="N67" s="58" t="s">
        <v>11</v>
      </c>
      <c r="O67" s="58" t="s">
        <v>12</v>
      </c>
      <c r="P67" s="59" t="s">
        <v>13</v>
      </c>
      <c r="Q67" s="58" t="s">
        <v>14</v>
      </c>
    </row>
    <row r="68" spans="1:17" ht="14.7" thickBot="1" x14ac:dyDescent="0.55000000000000004">
      <c r="A68" s="28">
        <v>1</v>
      </c>
      <c r="B68" s="33" t="s">
        <v>1</v>
      </c>
      <c r="C68" s="22" t="s">
        <v>6</v>
      </c>
      <c r="D68" s="25" t="s">
        <v>4</v>
      </c>
      <c r="E68" s="45" t="s">
        <v>15</v>
      </c>
      <c r="F68" s="20" t="s">
        <v>0</v>
      </c>
      <c r="G68" s="20" t="s">
        <v>7</v>
      </c>
      <c r="H68" s="20" t="s">
        <v>3</v>
      </c>
      <c r="I68" s="43" t="s">
        <v>2</v>
      </c>
      <c r="K68" s="58" t="s">
        <v>11</v>
      </c>
      <c r="L68" s="58" t="s">
        <v>12</v>
      </c>
      <c r="M68" s="59" t="s">
        <v>13</v>
      </c>
      <c r="N68" s="56" t="s">
        <v>14</v>
      </c>
      <c r="O68" s="59" t="s">
        <v>8</v>
      </c>
      <c r="P68" s="58" t="s">
        <v>9</v>
      </c>
      <c r="Q68" s="58" t="s">
        <v>10</v>
      </c>
    </row>
    <row r="69" spans="1:17" ht="14.7" thickBot="1" x14ac:dyDescent="0.55000000000000004">
      <c r="A69" s="28">
        <v>2</v>
      </c>
      <c r="B69" s="33" t="s">
        <v>38</v>
      </c>
      <c r="C69" s="22" t="s">
        <v>3</v>
      </c>
      <c r="D69" s="25" t="s">
        <v>0</v>
      </c>
      <c r="E69" s="45" t="s">
        <v>22</v>
      </c>
      <c r="F69" s="46" t="s">
        <v>15</v>
      </c>
      <c r="G69" s="20" t="s">
        <v>4</v>
      </c>
      <c r="H69" s="20" t="s">
        <v>7</v>
      </c>
      <c r="I69" s="24" t="s">
        <v>6</v>
      </c>
      <c r="K69" s="56" t="s">
        <v>14</v>
      </c>
      <c r="L69" s="59" t="s">
        <v>8</v>
      </c>
      <c r="M69" s="58" t="s">
        <v>9</v>
      </c>
      <c r="N69" s="56" t="s">
        <v>10</v>
      </c>
      <c r="O69" s="58" t="s">
        <v>11</v>
      </c>
      <c r="P69" s="58" t="s">
        <v>12</v>
      </c>
      <c r="Q69" s="59" t="s">
        <v>13</v>
      </c>
    </row>
    <row r="70" spans="1:17" ht="14.7" thickBot="1" x14ac:dyDescent="0.55000000000000004">
      <c r="A70" s="28">
        <v>3</v>
      </c>
      <c r="B70" s="33" t="s">
        <v>39</v>
      </c>
      <c r="C70" s="22" t="s">
        <v>7</v>
      </c>
      <c r="D70" s="49" t="s">
        <v>15</v>
      </c>
      <c r="E70" s="45" t="s">
        <v>24</v>
      </c>
      <c r="F70" s="46" t="s">
        <v>22</v>
      </c>
      <c r="G70" s="20" t="s">
        <v>0</v>
      </c>
      <c r="H70" s="20" t="s">
        <v>4</v>
      </c>
      <c r="I70" s="24" t="s">
        <v>3</v>
      </c>
      <c r="K70" s="56" t="s">
        <v>10</v>
      </c>
      <c r="L70" s="58" t="s">
        <v>11</v>
      </c>
      <c r="M70" s="58" t="s">
        <v>12</v>
      </c>
      <c r="N70" s="66" t="s">
        <v>13</v>
      </c>
      <c r="O70" s="56" t="s">
        <v>14</v>
      </c>
      <c r="P70" s="59" t="s">
        <v>8</v>
      </c>
      <c r="Q70" s="58" t="s">
        <v>9</v>
      </c>
    </row>
    <row r="71" spans="1:17" ht="14.7" thickBot="1" x14ac:dyDescent="0.55000000000000004">
      <c r="A71" s="28">
        <v>4</v>
      </c>
      <c r="B71" s="33" t="s">
        <v>40</v>
      </c>
      <c r="C71" s="22" t="s">
        <v>4</v>
      </c>
      <c r="D71" s="49" t="s">
        <v>22</v>
      </c>
      <c r="E71" s="45" t="s">
        <v>25</v>
      </c>
      <c r="F71" s="46" t="s">
        <v>24</v>
      </c>
      <c r="G71" s="46" t="s">
        <v>15</v>
      </c>
      <c r="H71" s="20" t="s">
        <v>0</v>
      </c>
      <c r="I71" s="24" t="s">
        <v>7</v>
      </c>
      <c r="K71" s="66" t="s">
        <v>13</v>
      </c>
      <c r="L71" s="56" t="s">
        <v>14</v>
      </c>
      <c r="M71" s="59" t="s">
        <v>8</v>
      </c>
      <c r="N71" s="56" t="s">
        <v>9</v>
      </c>
      <c r="O71" s="56" t="s">
        <v>10</v>
      </c>
      <c r="P71" s="58" t="s">
        <v>11</v>
      </c>
      <c r="Q71" s="58" t="s">
        <v>12</v>
      </c>
    </row>
    <row r="72" spans="1:17" ht="14.7" thickBot="1" x14ac:dyDescent="0.55000000000000004">
      <c r="A72" s="28">
        <v>5</v>
      </c>
      <c r="B72" s="33" t="s">
        <v>41</v>
      </c>
      <c r="C72" s="22" t="s">
        <v>0</v>
      </c>
      <c r="D72" s="49" t="s">
        <v>24</v>
      </c>
      <c r="E72" s="45" t="s">
        <v>26</v>
      </c>
      <c r="F72" s="46" t="s">
        <v>25</v>
      </c>
      <c r="G72" s="46" t="s">
        <v>22</v>
      </c>
      <c r="H72" s="46" t="s">
        <v>15</v>
      </c>
      <c r="I72" s="24" t="s">
        <v>4</v>
      </c>
      <c r="K72" s="56" t="s">
        <v>9</v>
      </c>
      <c r="L72" s="56" t="s">
        <v>10</v>
      </c>
      <c r="M72" s="58" t="s">
        <v>11</v>
      </c>
      <c r="N72" s="56" t="s">
        <v>12</v>
      </c>
      <c r="O72" s="66" t="s">
        <v>13</v>
      </c>
      <c r="P72" s="56" t="s">
        <v>14</v>
      </c>
      <c r="Q72" s="59" t="s">
        <v>8</v>
      </c>
    </row>
    <row r="73" spans="1:17" ht="14.7" thickBot="1" x14ac:dyDescent="0.55000000000000004">
      <c r="A73" s="40">
        <v>6</v>
      </c>
      <c r="B73" s="34" t="s">
        <v>42</v>
      </c>
      <c r="C73" s="51" t="s">
        <v>15</v>
      </c>
      <c r="D73" s="50" t="s">
        <v>25</v>
      </c>
      <c r="E73" s="47" t="s">
        <v>27</v>
      </c>
      <c r="F73" s="48" t="s">
        <v>26</v>
      </c>
      <c r="G73" s="48" t="s">
        <v>24</v>
      </c>
      <c r="H73" s="48" t="s">
        <v>22</v>
      </c>
      <c r="I73" s="27" t="s">
        <v>0</v>
      </c>
      <c r="K73" s="56" t="s">
        <v>12</v>
      </c>
      <c r="L73" s="66" t="s">
        <v>13</v>
      </c>
      <c r="M73" s="56" t="s">
        <v>14</v>
      </c>
      <c r="N73" s="66" t="s">
        <v>8</v>
      </c>
      <c r="O73" s="56" t="s">
        <v>9</v>
      </c>
      <c r="P73" s="56" t="s">
        <v>10</v>
      </c>
      <c r="Q73" s="58" t="s">
        <v>11</v>
      </c>
    </row>
    <row r="77" spans="1:17" x14ac:dyDescent="0.5">
      <c r="D77" s="297" t="s">
        <v>49</v>
      </c>
      <c r="E77" s="297"/>
      <c r="F77" s="297"/>
      <c r="G77" s="297"/>
      <c r="H77" s="297"/>
      <c r="I77" s="297"/>
      <c r="J77" s="297"/>
      <c r="K77" s="297"/>
      <c r="L77" s="297"/>
      <c r="M77" s="297"/>
      <c r="N77" s="297"/>
      <c r="O77" s="297"/>
      <c r="P77" s="297"/>
      <c r="Q77" s="297"/>
    </row>
    <row r="78" spans="1:17" x14ac:dyDescent="0.5">
      <c r="A78" s="2" t="s">
        <v>35</v>
      </c>
      <c r="B78" s="2" t="s">
        <v>48</v>
      </c>
      <c r="C78" s="2" t="s">
        <v>37</v>
      </c>
      <c r="E78" s="2" t="s">
        <v>2</v>
      </c>
      <c r="G78" s="2" t="s">
        <v>3</v>
      </c>
      <c r="I78" s="2" t="s">
        <v>4</v>
      </c>
      <c r="K78" s="2" t="s">
        <v>5</v>
      </c>
      <c r="M78" s="2" t="s">
        <v>6</v>
      </c>
      <c r="O78" s="2" t="s">
        <v>7</v>
      </c>
      <c r="Q78" s="2" t="s">
        <v>0</v>
      </c>
    </row>
    <row r="79" spans="1:17" x14ac:dyDescent="0.5">
      <c r="A79" s="2" t="s">
        <v>2</v>
      </c>
      <c r="B79" s="2">
        <v>-5</v>
      </c>
      <c r="C79" s="2" t="s">
        <v>47</v>
      </c>
      <c r="D79" s="2" t="s">
        <v>54</v>
      </c>
      <c r="E79" s="61" t="s">
        <v>14</v>
      </c>
      <c r="F79" s="2" t="s">
        <v>55</v>
      </c>
      <c r="G79" s="62" t="s">
        <v>8</v>
      </c>
      <c r="H79" s="2" t="s">
        <v>56</v>
      </c>
      <c r="I79" s="63" t="s">
        <v>9</v>
      </c>
      <c r="J79" s="2" t="s">
        <v>57</v>
      </c>
      <c r="K79" s="61" t="s">
        <v>10</v>
      </c>
      <c r="L79" s="2" t="s">
        <v>58</v>
      </c>
      <c r="M79" s="63" t="s">
        <v>11</v>
      </c>
      <c r="N79" s="2" t="s">
        <v>59</v>
      </c>
      <c r="O79" s="63" t="s">
        <v>12</v>
      </c>
      <c r="P79" s="2" t="s">
        <v>60</v>
      </c>
      <c r="Q79" s="62" t="s">
        <v>13</v>
      </c>
    </row>
    <row r="80" spans="1:17" x14ac:dyDescent="0.5">
      <c r="A80" s="2" t="s">
        <v>29</v>
      </c>
      <c r="B80" s="2">
        <v>-4</v>
      </c>
      <c r="C80" s="2" t="s">
        <v>46</v>
      </c>
      <c r="D80" s="2" t="s">
        <v>54</v>
      </c>
      <c r="E80" s="61" t="s">
        <v>10</v>
      </c>
      <c r="F80" s="2" t="s">
        <v>55</v>
      </c>
      <c r="G80" s="63" t="s">
        <v>11</v>
      </c>
      <c r="H80" s="2" t="s">
        <v>56</v>
      </c>
      <c r="I80" s="63" t="s">
        <v>12</v>
      </c>
      <c r="J80" s="2" t="s">
        <v>57</v>
      </c>
      <c r="K80" s="64" t="s">
        <v>13</v>
      </c>
      <c r="L80" s="2" t="s">
        <v>6</v>
      </c>
      <c r="M80" s="61" t="s">
        <v>14</v>
      </c>
      <c r="N80" s="2" t="s">
        <v>59</v>
      </c>
      <c r="O80" s="62" t="s">
        <v>8</v>
      </c>
      <c r="P80" s="2" t="s">
        <v>60</v>
      </c>
      <c r="Q80" s="63" t="s">
        <v>9</v>
      </c>
    </row>
    <row r="81" spans="1:17" x14ac:dyDescent="0.5">
      <c r="A81" s="2" t="s">
        <v>3</v>
      </c>
      <c r="B81" s="2">
        <v>-3</v>
      </c>
      <c r="C81" s="2" t="s">
        <v>45</v>
      </c>
      <c r="D81" s="2" t="s">
        <v>54</v>
      </c>
      <c r="E81" s="64" t="s">
        <v>13</v>
      </c>
      <c r="F81" s="2" t="s">
        <v>3</v>
      </c>
      <c r="G81" s="61" t="s">
        <v>14</v>
      </c>
      <c r="H81" s="2" t="s">
        <v>56</v>
      </c>
      <c r="I81" s="62" t="s">
        <v>8</v>
      </c>
      <c r="J81" s="2" t="s">
        <v>57</v>
      </c>
      <c r="K81" s="61" t="s">
        <v>9</v>
      </c>
      <c r="L81" s="2" t="s">
        <v>6</v>
      </c>
      <c r="M81" s="61" t="s">
        <v>10</v>
      </c>
      <c r="N81" s="2" t="s">
        <v>59</v>
      </c>
      <c r="O81" s="63" t="s">
        <v>11</v>
      </c>
      <c r="P81" s="2" t="s">
        <v>60</v>
      </c>
      <c r="Q81" s="63" t="s">
        <v>12</v>
      </c>
    </row>
    <row r="82" spans="1:17" x14ac:dyDescent="0.5">
      <c r="A82" s="2" t="s">
        <v>30</v>
      </c>
      <c r="B82" s="2">
        <v>-2</v>
      </c>
      <c r="C82" s="2" t="s">
        <v>44</v>
      </c>
      <c r="D82" s="2" t="s">
        <v>54</v>
      </c>
      <c r="E82" s="61" t="s">
        <v>9</v>
      </c>
      <c r="F82" s="2" t="s">
        <v>3</v>
      </c>
      <c r="G82" s="61" t="s">
        <v>10</v>
      </c>
      <c r="H82" s="2" t="s">
        <v>56</v>
      </c>
      <c r="I82" s="63" t="s">
        <v>11</v>
      </c>
      <c r="J82" s="2" t="s">
        <v>57</v>
      </c>
      <c r="K82" s="61" t="s">
        <v>12</v>
      </c>
      <c r="L82" s="2" t="s">
        <v>6</v>
      </c>
      <c r="M82" s="64" t="s">
        <v>13</v>
      </c>
      <c r="N82" s="2" t="s">
        <v>7</v>
      </c>
      <c r="O82" s="61" t="s">
        <v>14</v>
      </c>
      <c r="P82" s="2" t="s">
        <v>60</v>
      </c>
      <c r="Q82" s="62" t="s">
        <v>8</v>
      </c>
    </row>
    <row r="83" spans="1:17" x14ac:dyDescent="0.5">
      <c r="A83" s="2" t="s">
        <v>4</v>
      </c>
      <c r="B83" s="2">
        <v>-1</v>
      </c>
      <c r="C83" s="2" t="s">
        <v>43</v>
      </c>
      <c r="D83" s="2" t="s">
        <v>54</v>
      </c>
      <c r="E83" s="61" t="s">
        <v>12</v>
      </c>
      <c r="F83" s="2" t="s">
        <v>3</v>
      </c>
      <c r="G83" s="64" t="s">
        <v>13</v>
      </c>
      <c r="H83" s="2" t="s">
        <v>61</v>
      </c>
      <c r="I83" s="61" t="s">
        <v>14</v>
      </c>
      <c r="J83" s="2" t="s">
        <v>57</v>
      </c>
      <c r="K83" s="64" t="s">
        <v>8</v>
      </c>
      <c r="L83" s="2" t="s">
        <v>6</v>
      </c>
      <c r="M83" s="61" t="s">
        <v>9</v>
      </c>
      <c r="N83" s="2" t="s">
        <v>7</v>
      </c>
      <c r="O83" s="61" t="s">
        <v>10</v>
      </c>
      <c r="P83" s="2" t="s">
        <v>60</v>
      </c>
      <c r="Q83" s="63" t="s">
        <v>11</v>
      </c>
    </row>
    <row r="84" spans="1:17" x14ac:dyDescent="0.5">
      <c r="A84" s="2" t="s">
        <v>5</v>
      </c>
      <c r="B84" s="2">
        <v>0</v>
      </c>
      <c r="C84" s="2"/>
      <c r="D84" s="2" t="s">
        <v>54</v>
      </c>
      <c r="E84" s="64" t="s">
        <v>8</v>
      </c>
      <c r="F84" s="2" t="s">
        <v>3</v>
      </c>
      <c r="G84" s="61" t="s">
        <v>9</v>
      </c>
      <c r="H84" s="2" t="s">
        <v>61</v>
      </c>
      <c r="I84" s="61" t="s">
        <v>10</v>
      </c>
      <c r="J84" s="2" t="s">
        <v>57</v>
      </c>
      <c r="K84" s="61" t="s">
        <v>11</v>
      </c>
      <c r="L84" s="2" t="s">
        <v>6</v>
      </c>
      <c r="M84" s="61" t="s">
        <v>12</v>
      </c>
      <c r="N84" s="2" t="s">
        <v>7</v>
      </c>
      <c r="O84" s="64" t="s">
        <v>13</v>
      </c>
      <c r="P84" s="2" t="s">
        <v>62</v>
      </c>
      <c r="Q84" s="61" t="s">
        <v>14</v>
      </c>
    </row>
    <row r="85" spans="1:17" x14ac:dyDescent="0.5">
      <c r="A85" s="2" t="s">
        <v>31</v>
      </c>
      <c r="B85" s="2">
        <v>1</v>
      </c>
      <c r="C85" s="2" t="s">
        <v>1</v>
      </c>
      <c r="D85" s="2" t="s">
        <v>54</v>
      </c>
      <c r="E85" s="61" t="s">
        <v>11</v>
      </c>
      <c r="F85" s="2" t="s">
        <v>3</v>
      </c>
      <c r="G85" s="61" t="s">
        <v>12</v>
      </c>
      <c r="H85" s="2" t="s">
        <v>61</v>
      </c>
      <c r="I85" s="64" t="s">
        <v>13</v>
      </c>
      <c r="J85" s="2" t="s">
        <v>58</v>
      </c>
      <c r="K85" s="65" t="s">
        <v>14</v>
      </c>
      <c r="L85" s="2" t="s">
        <v>6</v>
      </c>
      <c r="M85" s="64" t="s">
        <v>8</v>
      </c>
      <c r="N85" s="2" t="s">
        <v>7</v>
      </c>
      <c r="O85" s="61" t="s">
        <v>9</v>
      </c>
      <c r="P85" s="2" t="s">
        <v>62</v>
      </c>
      <c r="Q85" s="61" t="s">
        <v>10</v>
      </c>
    </row>
    <row r="86" spans="1:17" x14ac:dyDescent="0.5">
      <c r="A86" s="2" t="s">
        <v>6</v>
      </c>
      <c r="B86" s="2">
        <v>2</v>
      </c>
      <c r="C86" s="2" t="s">
        <v>38</v>
      </c>
      <c r="D86" s="2" t="s">
        <v>55</v>
      </c>
      <c r="E86" s="65" t="s">
        <v>14</v>
      </c>
      <c r="F86" s="2" t="s">
        <v>3</v>
      </c>
      <c r="G86" s="64" t="s">
        <v>8</v>
      </c>
      <c r="H86" s="2" t="s">
        <v>61</v>
      </c>
      <c r="I86" s="61" t="s">
        <v>9</v>
      </c>
      <c r="J86" s="2" t="s">
        <v>58</v>
      </c>
      <c r="K86" s="65" t="s">
        <v>10</v>
      </c>
      <c r="L86" s="2" t="s">
        <v>6</v>
      </c>
      <c r="M86" s="61" t="s">
        <v>11</v>
      </c>
      <c r="N86" s="2" t="s">
        <v>7</v>
      </c>
      <c r="O86" s="61" t="s">
        <v>12</v>
      </c>
      <c r="P86" s="2" t="s">
        <v>62</v>
      </c>
      <c r="Q86" s="64" t="s">
        <v>13</v>
      </c>
    </row>
    <row r="87" spans="1:17" x14ac:dyDescent="0.5">
      <c r="A87" s="2" t="s">
        <v>32</v>
      </c>
      <c r="B87" s="2">
        <v>3</v>
      </c>
      <c r="C87" s="2" t="s">
        <v>39</v>
      </c>
      <c r="D87" s="2" t="s">
        <v>55</v>
      </c>
      <c r="E87" s="65" t="s">
        <v>10</v>
      </c>
      <c r="F87" s="2" t="s">
        <v>3</v>
      </c>
      <c r="G87" s="61" t="s">
        <v>11</v>
      </c>
      <c r="H87" s="2" t="s">
        <v>61</v>
      </c>
      <c r="I87" s="61" t="s">
        <v>12</v>
      </c>
      <c r="J87" s="2" t="s">
        <v>58</v>
      </c>
      <c r="K87" s="68" t="s">
        <v>13</v>
      </c>
      <c r="L87" s="2" t="s">
        <v>59</v>
      </c>
      <c r="M87" s="65" t="s">
        <v>14</v>
      </c>
      <c r="N87" s="2" t="s">
        <v>7</v>
      </c>
      <c r="O87" s="64" t="s">
        <v>8</v>
      </c>
      <c r="P87" s="2" t="s">
        <v>62</v>
      </c>
      <c r="Q87" s="61" t="s">
        <v>9</v>
      </c>
    </row>
    <row r="88" spans="1:17" x14ac:dyDescent="0.5">
      <c r="A88" s="2" t="s">
        <v>7</v>
      </c>
      <c r="B88" s="2">
        <v>4</v>
      </c>
      <c r="C88" s="2" t="s">
        <v>40</v>
      </c>
      <c r="D88" s="2" t="s">
        <v>55</v>
      </c>
      <c r="E88" s="68" t="s">
        <v>13</v>
      </c>
      <c r="F88" s="2" t="s">
        <v>56</v>
      </c>
      <c r="G88" s="65" t="s">
        <v>14</v>
      </c>
      <c r="H88" s="2" t="s">
        <v>61</v>
      </c>
      <c r="I88" s="64" t="s">
        <v>8</v>
      </c>
      <c r="J88" s="2" t="s">
        <v>58</v>
      </c>
      <c r="K88" s="65" t="s">
        <v>9</v>
      </c>
      <c r="L88" s="2" t="s">
        <v>59</v>
      </c>
      <c r="M88" s="65" t="s">
        <v>10</v>
      </c>
      <c r="N88" s="2" t="s">
        <v>7</v>
      </c>
      <c r="O88" s="61" t="s">
        <v>11</v>
      </c>
      <c r="P88" s="2" t="s">
        <v>62</v>
      </c>
      <c r="Q88" s="61" t="s">
        <v>12</v>
      </c>
    </row>
    <row r="89" spans="1:17" x14ac:dyDescent="0.5">
      <c r="A89" s="2" t="s">
        <v>33</v>
      </c>
      <c r="B89" s="2">
        <v>5</v>
      </c>
      <c r="C89" s="2" t="s">
        <v>41</v>
      </c>
      <c r="D89" s="2" t="s">
        <v>55</v>
      </c>
      <c r="E89" s="65" t="s">
        <v>9</v>
      </c>
      <c r="F89" s="2" t="s">
        <v>56</v>
      </c>
      <c r="G89" s="65" t="s">
        <v>10</v>
      </c>
      <c r="H89" s="2" t="s">
        <v>61</v>
      </c>
      <c r="I89" s="61" t="s">
        <v>11</v>
      </c>
      <c r="J89" s="2" t="s">
        <v>58</v>
      </c>
      <c r="K89" s="65" t="s">
        <v>12</v>
      </c>
      <c r="L89" s="2" t="s">
        <v>59</v>
      </c>
      <c r="M89" s="68" t="s">
        <v>13</v>
      </c>
      <c r="N89" s="2" t="s">
        <v>60</v>
      </c>
      <c r="O89" s="65" t="s">
        <v>14</v>
      </c>
      <c r="P89" s="2" t="s">
        <v>62</v>
      </c>
      <c r="Q89" s="64" t="s">
        <v>8</v>
      </c>
    </row>
    <row r="90" spans="1:17" x14ac:dyDescent="0.5">
      <c r="A90" s="2" t="s">
        <v>0</v>
      </c>
      <c r="B90" s="2">
        <v>6</v>
      </c>
      <c r="C90" s="2" t="s">
        <v>42</v>
      </c>
      <c r="D90" s="2" t="s">
        <v>55</v>
      </c>
      <c r="E90" s="65" t="s">
        <v>12</v>
      </c>
      <c r="F90" s="2" t="s">
        <v>56</v>
      </c>
      <c r="G90" s="68" t="s">
        <v>13</v>
      </c>
      <c r="H90" s="2" t="s">
        <v>57</v>
      </c>
      <c r="I90" s="65" t="s">
        <v>14</v>
      </c>
      <c r="J90" s="2" t="s">
        <v>58</v>
      </c>
      <c r="K90" s="68" t="s">
        <v>8</v>
      </c>
      <c r="L90" s="2" t="s">
        <v>59</v>
      </c>
      <c r="M90" s="65" t="s">
        <v>9</v>
      </c>
      <c r="N90" s="2" t="s">
        <v>60</v>
      </c>
      <c r="O90" s="65" t="s">
        <v>10</v>
      </c>
      <c r="P90" s="2" t="s">
        <v>62</v>
      </c>
      <c r="Q90" s="61" t="s">
        <v>11</v>
      </c>
    </row>
  </sheetData>
  <mergeCells count="3">
    <mergeCell ref="B11:M11"/>
    <mergeCell ref="K60:Q60"/>
    <mergeCell ref="D77:Q77"/>
  </mergeCell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C87"/>
  <sheetViews>
    <sheetView topLeftCell="A46" workbookViewId="0">
      <selection activeCell="S66" sqref="F66:S75"/>
    </sheetView>
  </sheetViews>
  <sheetFormatPr defaultRowHeight="14.35" x14ac:dyDescent="0.5"/>
  <cols>
    <col min="2" max="2" width="8.87890625" style="2"/>
    <col min="5" max="5" width="14.41015625" customWidth="1"/>
  </cols>
  <sheetData>
    <row r="1" spans="2:26" x14ac:dyDescent="0.5">
      <c r="B1" s="102">
        <v>0</v>
      </c>
      <c r="C1" s="102">
        <v>1</v>
      </c>
      <c r="D1" s="102">
        <v>2</v>
      </c>
      <c r="E1" s="102">
        <v>3</v>
      </c>
      <c r="F1" s="102">
        <v>4</v>
      </c>
      <c r="G1" s="102">
        <v>5</v>
      </c>
      <c r="H1" s="102">
        <v>6</v>
      </c>
      <c r="I1" s="102">
        <v>7</v>
      </c>
      <c r="J1" s="102">
        <v>8</v>
      </c>
      <c r="K1" s="102">
        <v>9</v>
      </c>
      <c r="L1" s="102">
        <v>10</v>
      </c>
      <c r="M1" s="102">
        <v>11</v>
      </c>
    </row>
    <row r="2" spans="2:26" x14ac:dyDescent="0.5">
      <c r="B2" s="102" t="s">
        <v>2</v>
      </c>
      <c r="C2" s="102" t="s">
        <v>29</v>
      </c>
      <c r="D2" s="102" t="s">
        <v>3</v>
      </c>
      <c r="E2" s="102" t="s">
        <v>30</v>
      </c>
      <c r="F2" s="102" t="s">
        <v>4</v>
      </c>
      <c r="G2" s="102" t="s">
        <v>5</v>
      </c>
      <c r="H2" s="102" t="s">
        <v>31</v>
      </c>
      <c r="I2" s="102" t="s">
        <v>6</v>
      </c>
      <c r="J2" s="102" t="s">
        <v>32</v>
      </c>
      <c r="K2" s="102" t="s">
        <v>7</v>
      </c>
      <c r="L2" s="102" t="s">
        <v>33</v>
      </c>
      <c r="M2" s="102" t="s">
        <v>0</v>
      </c>
    </row>
    <row r="6" spans="2:26" ht="14.7" thickBot="1" x14ac:dyDescent="0.55000000000000004"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26" ht="14.7" thickBot="1" x14ac:dyDescent="0.55000000000000004">
      <c r="C7" s="3"/>
      <c r="D7" s="4" t="s">
        <v>2</v>
      </c>
      <c r="E7" s="4" t="s">
        <v>3</v>
      </c>
      <c r="F7" s="4" t="s">
        <v>4</v>
      </c>
      <c r="G7" s="4" t="s">
        <v>5</v>
      </c>
      <c r="H7" s="4" t="s">
        <v>6</v>
      </c>
      <c r="I7" s="4" t="s">
        <v>7</v>
      </c>
      <c r="J7" s="5" t="s">
        <v>0</v>
      </c>
      <c r="K7" s="15" t="s">
        <v>8</v>
      </c>
      <c r="L7" s="18" t="s">
        <v>9</v>
      </c>
      <c r="M7" s="19" t="s">
        <v>10</v>
      </c>
      <c r="N7" s="2" t="s">
        <v>11</v>
      </c>
      <c r="O7" s="2" t="s">
        <v>12</v>
      </c>
      <c r="P7" s="17" t="s">
        <v>13</v>
      </c>
      <c r="Q7" s="2" t="s">
        <v>14</v>
      </c>
      <c r="R7" s="2"/>
      <c r="T7" t="s">
        <v>5</v>
      </c>
      <c r="U7" t="s">
        <v>2</v>
      </c>
      <c r="V7" t="s">
        <v>6</v>
      </c>
      <c r="W7" t="s">
        <v>3</v>
      </c>
      <c r="X7" t="s">
        <v>7</v>
      </c>
      <c r="Y7" t="s">
        <v>4</v>
      </c>
      <c r="Z7" t="s">
        <v>0</v>
      </c>
    </row>
    <row r="8" spans="2:26" x14ac:dyDescent="0.5">
      <c r="B8" s="2">
        <v>5</v>
      </c>
      <c r="C8" s="6">
        <v>-7</v>
      </c>
      <c r="D8" s="3">
        <v>-1</v>
      </c>
      <c r="E8" s="4">
        <v>-1</v>
      </c>
      <c r="F8" s="4">
        <v>-1</v>
      </c>
      <c r="G8" s="4">
        <v>-1</v>
      </c>
      <c r="H8" s="4">
        <v>-1</v>
      </c>
      <c r="I8" s="4">
        <v>-1</v>
      </c>
      <c r="J8" s="5">
        <v>-1</v>
      </c>
      <c r="K8" s="2" t="s">
        <v>21</v>
      </c>
      <c r="L8" s="2" t="s">
        <v>19</v>
      </c>
      <c r="M8" s="2" t="s">
        <v>17</v>
      </c>
      <c r="N8" s="2" t="s">
        <v>23</v>
      </c>
      <c r="O8" s="2" t="s">
        <v>20</v>
      </c>
      <c r="P8" s="2" t="s">
        <v>18</v>
      </c>
      <c r="Q8" s="2" t="s">
        <v>16</v>
      </c>
      <c r="R8" s="2"/>
      <c r="T8">
        <v>-1</v>
      </c>
      <c r="U8">
        <v>-1</v>
      </c>
      <c r="V8">
        <v>-1</v>
      </c>
      <c r="W8">
        <v>-1</v>
      </c>
      <c r="X8">
        <v>-1</v>
      </c>
      <c r="Y8">
        <v>-1</v>
      </c>
      <c r="Z8">
        <v>-1</v>
      </c>
    </row>
    <row r="9" spans="2:26" x14ac:dyDescent="0.5">
      <c r="B9" s="2">
        <v>6</v>
      </c>
      <c r="C9" s="6">
        <v>-6</v>
      </c>
      <c r="D9" s="6">
        <v>-1</v>
      </c>
      <c r="E9" s="2">
        <v>-1</v>
      </c>
      <c r="F9" s="2">
        <v>-1</v>
      </c>
      <c r="G9" s="7">
        <v>0</v>
      </c>
      <c r="H9" s="2">
        <v>-1</v>
      </c>
      <c r="I9" s="2">
        <v>-1</v>
      </c>
      <c r="J9" s="8">
        <v>-1</v>
      </c>
      <c r="K9" s="2" t="s">
        <v>20</v>
      </c>
      <c r="L9" s="2" t="s">
        <v>18</v>
      </c>
      <c r="M9" s="2" t="s">
        <v>16</v>
      </c>
      <c r="N9" s="2" t="s">
        <v>21</v>
      </c>
      <c r="O9" s="2" t="s">
        <v>19</v>
      </c>
      <c r="P9" s="2" t="s">
        <v>17</v>
      </c>
      <c r="Q9" s="2" t="s">
        <v>5</v>
      </c>
      <c r="R9" s="2"/>
      <c r="T9" s="1">
        <v>0</v>
      </c>
      <c r="U9">
        <v>-1</v>
      </c>
      <c r="V9">
        <v>-1</v>
      </c>
      <c r="W9">
        <v>-1</v>
      </c>
      <c r="X9">
        <v>-1</v>
      </c>
      <c r="Y9">
        <v>-1</v>
      </c>
      <c r="Z9">
        <v>-1</v>
      </c>
    </row>
    <row r="10" spans="2:26" x14ac:dyDescent="0.5">
      <c r="B10" s="2">
        <v>7</v>
      </c>
      <c r="C10" s="14">
        <v>-5</v>
      </c>
      <c r="D10" s="9">
        <v>0</v>
      </c>
      <c r="E10" s="2">
        <v>-1</v>
      </c>
      <c r="F10" s="2">
        <v>-1</v>
      </c>
      <c r="G10" s="7">
        <v>0</v>
      </c>
      <c r="H10" s="2">
        <v>-1</v>
      </c>
      <c r="I10" s="2">
        <v>-1</v>
      </c>
      <c r="J10" s="8">
        <v>-1</v>
      </c>
      <c r="K10" s="15" t="s">
        <v>19</v>
      </c>
      <c r="L10" s="15" t="s">
        <v>17</v>
      </c>
      <c r="M10" s="15" t="s">
        <v>5</v>
      </c>
      <c r="N10" s="15" t="s">
        <v>20</v>
      </c>
      <c r="O10" s="15" t="s">
        <v>18</v>
      </c>
      <c r="P10" s="15" t="s">
        <v>16</v>
      </c>
      <c r="Q10" s="15" t="s">
        <v>2</v>
      </c>
      <c r="R10" s="2"/>
      <c r="T10" s="1">
        <v>0</v>
      </c>
      <c r="U10" s="1">
        <v>0</v>
      </c>
      <c r="V10">
        <v>-1</v>
      </c>
      <c r="W10">
        <v>-1</v>
      </c>
      <c r="X10">
        <v>-1</v>
      </c>
      <c r="Y10">
        <v>-1</v>
      </c>
      <c r="Z10">
        <v>-1</v>
      </c>
    </row>
    <row r="11" spans="2:26" x14ac:dyDescent="0.5">
      <c r="C11" s="14">
        <v>-4</v>
      </c>
      <c r="D11" s="9">
        <v>0</v>
      </c>
      <c r="E11" s="2">
        <v>-1</v>
      </c>
      <c r="F11" s="2">
        <v>-1</v>
      </c>
      <c r="G11" s="7">
        <v>0</v>
      </c>
      <c r="H11" s="7">
        <v>0</v>
      </c>
      <c r="I11" s="2">
        <v>-1</v>
      </c>
      <c r="J11" s="8">
        <v>-1</v>
      </c>
      <c r="K11" s="15" t="s">
        <v>18</v>
      </c>
      <c r="L11" s="15" t="s">
        <v>16</v>
      </c>
      <c r="M11" s="15" t="s">
        <v>2</v>
      </c>
      <c r="N11" s="15" t="s">
        <v>19</v>
      </c>
      <c r="O11" s="15" t="s">
        <v>17</v>
      </c>
      <c r="P11" s="15" t="s">
        <v>5</v>
      </c>
      <c r="Q11" s="15" t="s">
        <v>6</v>
      </c>
      <c r="R11" s="2"/>
      <c r="T11" s="1">
        <v>0</v>
      </c>
      <c r="U11" s="1">
        <v>0</v>
      </c>
      <c r="V11" s="1">
        <v>0</v>
      </c>
      <c r="W11">
        <v>-1</v>
      </c>
      <c r="X11">
        <v>-1</v>
      </c>
      <c r="Y11">
        <v>-1</v>
      </c>
      <c r="Z11">
        <v>-1</v>
      </c>
    </row>
    <row r="12" spans="2:26" x14ac:dyDescent="0.5">
      <c r="C12" s="14">
        <v>-3</v>
      </c>
      <c r="D12" s="9">
        <v>0</v>
      </c>
      <c r="E12" s="7">
        <v>0</v>
      </c>
      <c r="F12" s="2">
        <v>-1</v>
      </c>
      <c r="G12" s="7">
        <v>0</v>
      </c>
      <c r="H12" s="7">
        <v>0</v>
      </c>
      <c r="I12" s="2">
        <v>-1</v>
      </c>
      <c r="J12" s="8">
        <v>-1</v>
      </c>
      <c r="K12" s="15" t="s">
        <v>17</v>
      </c>
      <c r="L12" s="15" t="s">
        <v>5</v>
      </c>
      <c r="M12" s="15" t="s">
        <v>6</v>
      </c>
      <c r="N12" s="15" t="s">
        <v>18</v>
      </c>
      <c r="O12" s="15" t="s">
        <v>16</v>
      </c>
      <c r="P12" s="15" t="s">
        <v>2</v>
      </c>
      <c r="Q12" s="15" t="s">
        <v>3</v>
      </c>
      <c r="R12" s="2"/>
      <c r="T12" s="1">
        <v>0</v>
      </c>
      <c r="U12" s="1">
        <v>0</v>
      </c>
      <c r="V12" s="1">
        <v>0</v>
      </c>
      <c r="W12" s="1">
        <v>0</v>
      </c>
      <c r="X12">
        <v>-1</v>
      </c>
      <c r="Y12">
        <v>-1</v>
      </c>
      <c r="Z12">
        <v>-1</v>
      </c>
    </row>
    <row r="13" spans="2:26" x14ac:dyDescent="0.5">
      <c r="C13" s="14">
        <v>-2</v>
      </c>
      <c r="D13" s="9">
        <v>0</v>
      </c>
      <c r="E13" s="7">
        <v>0</v>
      </c>
      <c r="F13" s="2">
        <v>-1</v>
      </c>
      <c r="G13" s="7">
        <v>0</v>
      </c>
      <c r="H13" s="7">
        <v>0</v>
      </c>
      <c r="I13" s="7">
        <v>0</v>
      </c>
      <c r="J13" s="8">
        <v>-1</v>
      </c>
      <c r="K13" s="15" t="s">
        <v>16</v>
      </c>
      <c r="L13" s="15" t="s">
        <v>2</v>
      </c>
      <c r="M13" s="15" t="s">
        <v>3</v>
      </c>
      <c r="N13" s="15" t="s">
        <v>17</v>
      </c>
      <c r="O13" s="15" t="s">
        <v>5</v>
      </c>
      <c r="P13" s="15" t="s">
        <v>6</v>
      </c>
      <c r="Q13" s="15" t="s">
        <v>7</v>
      </c>
      <c r="R13" s="2"/>
      <c r="T13" s="1">
        <v>0</v>
      </c>
      <c r="U13" s="1">
        <v>0</v>
      </c>
      <c r="V13" s="1">
        <v>0</v>
      </c>
      <c r="W13" s="1">
        <v>0</v>
      </c>
      <c r="X13" s="1">
        <v>0</v>
      </c>
      <c r="Y13">
        <v>-1</v>
      </c>
      <c r="Z13">
        <v>-1</v>
      </c>
    </row>
    <row r="14" spans="2:26" x14ac:dyDescent="0.5">
      <c r="C14" s="14">
        <v>-1</v>
      </c>
      <c r="D14" s="9">
        <v>0</v>
      </c>
      <c r="E14" s="7">
        <v>0</v>
      </c>
      <c r="F14" s="7">
        <v>0</v>
      </c>
      <c r="G14" s="7">
        <v>0</v>
      </c>
      <c r="H14" s="7">
        <v>0</v>
      </c>
      <c r="I14" s="7">
        <v>0</v>
      </c>
      <c r="J14" s="8">
        <v>-1</v>
      </c>
      <c r="K14" s="15" t="s">
        <v>5</v>
      </c>
      <c r="L14" s="15" t="s">
        <v>6</v>
      </c>
      <c r="M14" s="15" t="s">
        <v>7</v>
      </c>
      <c r="N14" s="15" t="s">
        <v>16</v>
      </c>
      <c r="O14" s="15" t="s">
        <v>2</v>
      </c>
      <c r="P14" s="15" t="s">
        <v>3</v>
      </c>
      <c r="Q14" s="15" t="s">
        <v>4</v>
      </c>
      <c r="R14" s="2"/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>
        <v>-1</v>
      </c>
    </row>
    <row r="15" spans="2:26" x14ac:dyDescent="0.5">
      <c r="C15" s="14">
        <v>0</v>
      </c>
      <c r="D15" s="9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10">
        <v>0</v>
      </c>
      <c r="K15" s="15" t="s">
        <v>2</v>
      </c>
      <c r="L15" s="15" t="s">
        <v>3</v>
      </c>
      <c r="M15" s="15" t="s">
        <v>4</v>
      </c>
      <c r="N15" s="15" t="s">
        <v>5</v>
      </c>
      <c r="O15" s="15" t="s">
        <v>6</v>
      </c>
      <c r="P15" s="15" t="s">
        <v>7</v>
      </c>
      <c r="Q15" s="15" t="s">
        <v>0</v>
      </c>
      <c r="R15" s="2"/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</row>
    <row r="16" spans="2:26" x14ac:dyDescent="0.5">
      <c r="C16" s="14">
        <v>1</v>
      </c>
      <c r="D16" s="9">
        <v>0</v>
      </c>
      <c r="E16" s="7">
        <v>0</v>
      </c>
      <c r="F16" s="7">
        <v>0</v>
      </c>
      <c r="G16" s="2">
        <v>1</v>
      </c>
      <c r="H16" s="7">
        <v>0</v>
      </c>
      <c r="I16" s="7">
        <v>0</v>
      </c>
      <c r="J16" s="10">
        <v>0</v>
      </c>
      <c r="K16" s="15" t="s">
        <v>6</v>
      </c>
      <c r="L16" s="15" t="s">
        <v>7</v>
      </c>
      <c r="M16" s="15" t="s">
        <v>0</v>
      </c>
      <c r="N16" s="15" t="s">
        <v>2</v>
      </c>
      <c r="O16" s="15" t="s">
        <v>3</v>
      </c>
      <c r="P16" s="15" t="s">
        <v>4</v>
      </c>
      <c r="Q16" s="15" t="s">
        <v>15</v>
      </c>
      <c r="R16" s="2"/>
      <c r="T16">
        <v>1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</row>
    <row r="17" spans="1:29" x14ac:dyDescent="0.5">
      <c r="C17" s="14">
        <v>2</v>
      </c>
      <c r="D17" s="6">
        <v>1</v>
      </c>
      <c r="E17" s="7">
        <v>0</v>
      </c>
      <c r="F17" s="7">
        <v>0</v>
      </c>
      <c r="G17" s="2">
        <v>1</v>
      </c>
      <c r="H17" s="7">
        <v>0</v>
      </c>
      <c r="I17" s="7">
        <v>0</v>
      </c>
      <c r="J17" s="10">
        <v>0</v>
      </c>
      <c r="K17" s="15" t="s">
        <v>3</v>
      </c>
      <c r="L17" s="15" t="s">
        <v>4</v>
      </c>
      <c r="M17" s="15" t="s">
        <v>15</v>
      </c>
      <c r="N17" s="15" t="s">
        <v>6</v>
      </c>
      <c r="O17" s="15" t="s">
        <v>7</v>
      </c>
      <c r="P17" s="15" t="s">
        <v>0</v>
      </c>
      <c r="Q17" s="15" t="s">
        <v>22</v>
      </c>
      <c r="R17" s="2"/>
      <c r="T17">
        <v>1</v>
      </c>
      <c r="U17">
        <v>1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</row>
    <row r="18" spans="1:29" x14ac:dyDescent="0.5">
      <c r="C18" s="14">
        <v>3</v>
      </c>
      <c r="D18" s="6">
        <v>1</v>
      </c>
      <c r="E18" s="7">
        <v>0</v>
      </c>
      <c r="F18" s="7">
        <v>0</v>
      </c>
      <c r="G18" s="2">
        <v>1</v>
      </c>
      <c r="H18" s="2">
        <v>1</v>
      </c>
      <c r="I18" s="7">
        <v>0</v>
      </c>
      <c r="J18" s="10">
        <v>0</v>
      </c>
      <c r="K18" s="15" t="s">
        <v>7</v>
      </c>
      <c r="L18" s="15" t="s">
        <v>0</v>
      </c>
      <c r="M18" s="15" t="s">
        <v>22</v>
      </c>
      <c r="N18" s="15" t="s">
        <v>3</v>
      </c>
      <c r="O18" s="15" t="s">
        <v>4</v>
      </c>
      <c r="P18" s="15" t="s">
        <v>15</v>
      </c>
      <c r="Q18" s="15" t="s">
        <v>24</v>
      </c>
      <c r="R18" s="2"/>
      <c r="T18">
        <v>1</v>
      </c>
      <c r="U18">
        <v>1</v>
      </c>
      <c r="V18">
        <v>1</v>
      </c>
      <c r="W18" s="1">
        <v>0</v>
      </c>
      <c r="X18" s="1">
        <v>0</v>
      </c>
      <c r="Y18" s="1">
        <v>0</v>
      </c>
      <c r="Z18" s="1">
        <v>0</v>
      </c>
    </row>
    <row r="19" spans="1:29" x14ac:dyDescent="0.5">
      <c r="C19" s="14">
        <v>4</v>
      </c>
      <c r="D19" s="6">
        <v>1</v>
      </c>
      <c r="E19" s="2">
        <v>1</v>
      </c>
      <c r="F19" s="7">
        <v>0</v>
      </c>
      <c r="G19" s="2">
        <v>1</v>
      </c>
      <c r="H19" s="2">
        <v>1</v>
      </c>
      <c r="I19" s="7">
        <v>0</v>
      </c>
      <c r="J19" s="10">
        <v>0</v>
      </c>
      <c r="K19" s="15" t="s">
        <v>4</v>
      </c>
      <c r="L19" s="15" t="s">
        <v>15</v>
      </c>
      <c r="M19" s="15" t="s">
        <v>24</v>
      </c>
      <c r="N19" s="15" t="s">
        <v>7</v>
      </c>
      <c r="O19" s="15" t="s">
        <v>0</v>
      </c>
      <c r="P19" s="15" t="s">
        <v>22</v>
      </c>
      <c r="Q19" s="15" t="s">
        <v>25</v>
      </c>
      <c r="R19" s="2"/>
      <c r="T19">
        <v>1</v>
      </c>
      <c r="U19">
        <v>1</v>
      </c>
      <c r="V19">
        <v>1</v>
      </c>
      <c r="W19">
        <v>1</v>
      </c>
      <c r="X19" s="1">
        <v>0</v>
      </c>
      <c r="Y19" s="1">
        <v>0</v>
      </c>
      <c r="Z19" s="1">
        <v>0</v>
      </c>
    </row>
    <row r="20" spans="1:29" x14ac:dyDescent="0.5">
      <c r="B20" s="2">
        <v>-7</v>
      </c>
      <c r="C20" s="14">
        <v>5</v>
      </c>
      <c r="D20" s="6">
        <v>1</v>
      </c>
      <c r="E20" s="2">
        <v>1</v>
      </c>
      <c r="F20" s="7">
        <v>0</v>
      </c>
      <c r="G20" s="2">
        <v>1</v>
      </c>
      <c r="H20" s="2">
        <v>1</v>
      </c>
      <c r="I20" s="2">
        <v>1</v>
      </c>
      <c r="J20" s="10">
        <v>0</v>
      </c>
      <c r="K20" s="15" t="s">
        <v>0</v>
      </c>
      <c r="L20" s="15" t="s">
        <v>22</v>
      </c>
      <c r="M20" s="15" t="s">
        <v>25</v>
      </c>
      <c r="N20" s="15" t="s">
        <v>4</v>
      </c>
      <c r="O20" s="15" t="s">
        <v>15</v>
      </c>
      <c r="P20" s="15" t="s">
        <v>24</v>
      </c>
      <c r="Q20" s="15" t="s">
        <v>26</v>
      </c>
      <c r="R20" s="2"/>
      <c r="T20">
        <v>1</v>
      </c>
      <c r="U20">
        <v>1</v>
      </c>
      <c r="V20">
        <v>1</v>
      </c>
      <c r="W20">
        <v>1</v>
      </c>
      <c r="X20">
        <v>1</v>
      </c>
      <c r="Y20" s="1">
        <v>0</v>
      </c>
      <c r="Z20" s="1">
        <v>0</v>
      </c>
    </row>
    <row r="21" spans="1:29" x14ac:dyDescent="0.5">
      <c r="B21" s="2">
        <v>-6</v>
      </c>
      <c r="C21" s="14">
        <v>6</v>
      </c>
      <c r="D21" s="6">
        <v>1</v>
      </c>
      <c r="E21" s="2">
        <v>1</v>
      </c>
      <c r="F21" s="2">
        <v>1</v>
      </c>
      <c r="G21" s="2">
        <v>1</v>
      </c>
      <c r="H21" s="2">
        <v>1</v>
      </c>
      <c r="I21" s="2">
        <v>1</v>
      </c>
      <c r="J21" s="10">
        <v>0</v>
      </c>
      <c r="K21" s="15" t="s">
        <v>15</v>
      </c>
      <c r="L21" s="15" t="s">
        <v>24</v>
      </c>
      <c r="M21" s="15" t="s">
        <v>26</v>
      </c>
      <c r="N21" s="15" t="s">
        <v>0</v>
      </c>
      <c r="O21" s="15" t="s">
        <v>22</v>
      </c>
      <c r="P21" s="15" t="s">
        <v>25</v>
      </c>
      <c r="Q21" s="15" t="s">
        <v>27</v>
      </c>
      <c r="R21" s="2"/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 s="1">
        <v>0</v>
      </c>
    </row>
    <row r="22" spans="1:29" ht="14.7" thickBot="1" x14ac:dyDescent="0.55000000000000004">
      <c r="B22" s="2">
        <v>-5</v>
      </c>
      <c r="C22" s="11">
        <v>7</v>
      </c>
      <c r="D22" s="11">
        <v>1</v>
      </c>
      <c r="E22" s="12">
        <v>1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2" t="s">
        <v>22</v>
      </c>
      <c r="L22" s="2" t="s">
        <v>25</v>
      </c>
      <c r="M22" s="2" t="s">
        <v>27</v>
      </c>
      <c r="N22" s="2" t="s">
        <v>15</v>
      </c>
      <c r="O22" s="2" t="s">
        <v>24</v>
      </c>
      <c r="P22" s="2" t="s">
        <v>26</v>
      </c>
      <c r="Q22" s="2" t="s">
        <v>28</v>
      </c>
      <c r="R22" s="2"/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</row>
    <row r="23" spans="1:29" x14ac:dyDescent="0.5">
      <c r="C23" s="2"/>
      <c r="N23" s="2"/>
      <c r="O23" s="2"/>
      <c r="P23" s="2"/>
      <c r="Q23" s="2"/>
      <c r="R23" s="2"/>
    </row>
    <row r="24" spans="1:29" x14ac:dyDescent="0.5">
      <c r="C24" s="2"/>
      <c r="R24" s="2"/>
    </row>
    <row r="25" spans="1:29" x14ac:dyDescent="0.5">
      <c r="D25" s="16"/>
    </row>
    <row r="26" spans="1:29" ht="14.7" thickBot="1" x14ac:dyDescent="0.55000000000000004"/>
    <row r="27" spans="1:29" x14ac:dyDescent="0.5">
      <c r="A27" s="69">
        <v>27</v>
      </c>
      <c r="B27" s="69" t="s">
        <v>130</v>
      </c>
      <c r="E27" s="29" t="s">
        <v>35</v>
      </c>
      <c r="F27" s="33" t="s">
        <v>2</v>
      </c>
      <c r="G27" s="33" t="s">
        <v>29</v>
      </c>
      <c r="H27" s="33" t="s">
        <v>3</v>
      </c>
      <c r="I27" s="33" t="s">
        <v>30</v>
      </c>
      <c r="J27" s="33" t="s">
        <v>4</v>
      </c>
      <c r="K27" s="33" t="s">
        <v>5</v>
      </c>
      <c r="L27" s="33" t="s">
        <v>31</v>
      </c>
      <c r="M27" s="33" t="s">
        <v>6</v>
      </c>
      <c r="N27" s="33" t="s">
        <v>32</v>
      </c>
      <c r="O27" s="33" t="s">
        <v>7</v>
      </c>
      <c r="P27" s="33" t="s">
        <v>33</v>
      </c>
      <c r="Q27" s="34" t="s">
        <v>0</v>
      </c>
      <c r="R27" s="2"/>
      <c r="S27" s="69" t="s">
        <v>66</v>
      </c>
      <c r="T27" t="s">
        <v>246</v>
      </c>
      <c r="U27" t="str">
        <f>S27&amp; " " &amp;T$27</f>
        <v>Preset 1 (tap) Select     (tap holding key 22) Store</v>
      </c>
      <c r="V27" t="s">
        <v>271</v>
      </c>
      <c r="AC27">
        <v>0</v>
      </c>
    </row>
    <row r="28" spans="1:29" ht="14.7" customHeight="1" thickBot="1" x14ac:dyDescent="0.55000000000000004">
      <c r="A28" s="69">
        <v>28</v>
      </c>
      <c r="B28" s="69" t="s">
        <v>131</v>
      </c>
      <c r="E28" s="39" t="s">
        <v>48</v>
      </c>
      <c r="F28" s="28">
        <v>-5</v>
      </c>
      <c r="G28" s="28">
        <v>-4</v>
      </c>
      <c r="H28" s="28">
        <v>-3</v>
      </c>
      <c r="I28" s="28">
        <v>-2</v>
      </c>
      <c r="J28" s="28">
        <v>-1</v>
      </c>
      <c r="K28" s="28">
        <v>0</v>
      </c>
      <c r="L28" s="28">
        <v>1</v>
      </c>
      <c r="M28" s="28">
        <v>2</v>
      </c>
      <c r="N28" s="28">
        <v>3</v>
      </c>
      <c r="O28" s="28">
        <v>4</v>
      </c>
      <c r="P28" s="28">
        <v>5</v>
      </c>
      <c r="Q28" s="40">
        <v>6</v>
      </c>
      <c r="R28" s="2"/>
      <c r="S28" s="69" t="s">
        <v>67</v>
      </c>
      <c r="T28" t="s">
        <v>67</v>
      </c>
      <c r="U28" t="str">
        <f t="shared" ref="U28:U50" si="0">S28&amp; " " &amp;T$27</f>
        <v>Preset 2 (tap) Select     (tap holding key 22) Store</v>
      </c>
      <c r="V28" t="s">
        <v>270</v>
      </c>
      <c r="AC28">
        <v>1</v>
      </c>
    </row>
    <row r="29" spans="1:29" ht="14.35" customHeight="1" x14ac:dyDescent="0.5">
      <c r="A29" s="69">
        <v>29</v>
      </c>
      <c r="B29" s="69" t="s">
        <v>132</v>
      </c>
      <c r="E29" s="29" t="s">
        <v>37</v>
      </c>
      <c r="F29" s="33" t="s">
        <v>47</v>
      </c>
      <c r="G29" s="33" t="s">
        <v>46</v>
      </c>
      <c r="H29" s="33" t="s">
        <v>45</v>
      </c>
      <c r="I29" s="33" t="s">
        <v>44</v>
      </c>
      <c r="J29" s="33" t="s">
        <v>43</v>
      </c>
      <c r="K29" s="33"/>
      <c r="L29" s="33" t="s">
        <v>1</v>
      </c>
      <c r="M29" s="33" t="s">
        <v>38</v>
      </c>
      <c r="N29" s="33" t="s">
        <v>39</v>
      </c>
      <c r="O29" s="33" t="s">
        <v>40</v>
      </c>
      <c r="P29" s="33" t="s">
        <v>41</v>
      </c>
      <c r="Q29" s="34" t="s">
        <v>42</v>
      </c>
      <c r="S29" s="69" t="s">
        <v>68</v>
      </c>
      <c r="T29" t="s">
        <v>68</v>
      </c>
      <c r="U29" t="str">
        <f t="shared" si="0"/>
        <v>Preset 3 (tap) Select     (tap holding key 22) Store</v>
      </c>
      <c r="V29" t="s">
        <v>269</v>
      </c>
      <c r="AC29">
        <v>2</v>
      </c>
    </row>
    <row r="30" spans="1:29" x14ac:dyDescent="0.5">
      <c r="A30" s="69">
        <v>30</v>
      </c>
      <c r="B30" s="69" t="s">
        <v>133</v>
      </c>
      <c r="E30" s="35" t="s">
        <v>50</v>
      </c>
      <c r="F30" s="22" t="s">
        <v>29</v>
      </c>
      <c r="G30" s="22" t="s">
        <v>32</v>
      </c>
      <c r="H30" s="22" t="s">
        <v>30</v>
      </c>
      <c r="I30" s="22" t="s">
        <v>33</v>
      </c>
      <c r="J30" s="22" t="s">
        <v>5</v>
      </c>
      <c r="K30" s="22" t="s">
        <v>2</v>
      </c>
      <c r="L30" s="22" t="s">
        <v>6</v>
      </c>
      <c r="M30" s="22" t="s">
        <v>3</v>
      </c>
      <c r="N30" s="22" t="s">
        <v>7</v>
      </c>
      <c r="O30" s="22" t="s">
        <v>4</v>
      </c>
      <c r="P30" s="22" t="s">
        <v>0</v>
      </c>
      <c r="Q30" s="36" t="s">
        <v>31</v>
      </c>
      <c r="S30" s="69" t="s">
        <v>69</v>
      </c>
      <c r="T30" t="s">
        <v>69</v>
      </c>
      <c r="U30" t="str">
        <f t="shared" si="0"/>
        <v>Preset 4 (tap) Select     (tap holding key 22) Store</v>
      </c>
      <c r="V30" t="s">
        <v>268</v>
      </c>
      <c r="AC30">
        <v>3</v>
      </c>
    </row>
    <row r="31" spans="1:29" ht="15.6" customHeight="1" thickBot="1" x14ac:dyDescent="0.55000000000000004">
      <c r="A31" s="69">
        <v>31</v>
      </c>
      <c r="B31" s="69" t="s">
        <v>134</v>
      </c>
      <c r="E31" s="37" t="s">
        <v>51</v>
      </c>
      <c r="F31" s="25" t="s">
        <v>33</v>
      </c>
      <c r="G31" s="25" t="s">
        <v>5</v>
      </c>
      <c r="H31" s="25" t="s">
        <v>2</v>
      </c>
      <c r="I31" s="25" t="s">
        <v>6</v>
      </c>
      <c r="J31" s="25" t="s">
        <v>3</v>
      </c>
      <c r="K31" s="25" t="s">
        <v>7</v>
      </c>
      <c r="L31" s="25" t="s">
        <v>4</v>
      </c>
      <c r="M31" s="25" t="s">
        <v>0</v>
      </c>
      <c r="N31" s="25" t="s">
        <v>31</v>
      </c>
      <c r="O31" s="25" t="s">
        <v>29</v>
      </c>
      <c r="P31" s="25" t="s">
        <v>32</v>
      </c>
      <c r="Q31" s="38" t="s">
        <v>30</v>
      </c>
      <c r="S31" s="69" t="s">
        <v>247</v>
      </c>
      <c r="T31" t="s">
        <v>89</v>
      </c>
      <c r="U31" t="str">
        <f t="shared" si="0"/>
        <v>Preset 5 (tap) Select     (tap holding key 22) Store</v>
      </c>
      <c r="V31" t="s">
        <v>267</v>
      </c>
      <c r="AC31">
        <v>4</v>
      </c>
    </row>
    <row r="32" spans="1:29" ht="14.35" customHeight="1" x14ac:dyDescent="0.5">
      <c r="A32" s="69">
        <v>32</v>
      </c>
      <c r="B32" s="69" t="s">
        <v>135</v>
      </c>
      <c r="E32" s="41" t="s">
        <v>14</v>
      </c>
      <c r="F32" s="32" t="s">
        <v>2</v>
      </c>
      <c r="G32" s="32" t="s">
        <v>6</v>
      </c>
      <c r="H32" s="32" t="s">
        <v>3</v>
      </c>
      <c r="I32" s="32" t="s">
        <v>7</v>
      </c>
      <c r="J32" s="32" t="s">
        <v>4</v>
      </c>
      <c r="K32" s="32" t="s">
        <v>0</v>
      </c>
      <c r="L32" s="32" t="s">
        <v>31</v>
      </c>
      <c r="M32" s="32" t="s">
        <v>29</v>
      </c>
      <c r="N32" s="32" t="s">
        <v>32</v>
      </c>
      <c r="O32" s="32" t="s">
        <v>30</v>
      </c>
      <c r="P32" s="32" t="s">
        <v>33</v>
      </c>
      <c r="Q32" s="42" t="s">
        <v>34</v>
      </c>
      <c r="S32" s="69" t="s">
        <v>70</v>
      </c>
      <c r="T32" t="s">
        <v>70</v>
      </c>
      <c r="U32" t="str">
        <f t="shared" si="0"/>
        <v>Preset 6 (tap) Select     (tap holding key 22) Store</v>
      </c>
      <c r="V32" t="s">
        <v>266</v>
      </c>
      <c r="AC32">
        <v>5</v>
      </c>
    </row>
    <row r="33" spans="1:29" x14ac:dyDescent="0.5">
      <c r="A33" s="69">
        <v>33</v>
      </c>
      <c r="B33" s="69" t="s">
        <v>136</v>
      </c>
      <c r="E33" s="30" t="s">
        <v>10</v>
      </c>
      <c r="F33" s="20" t="s">
        <v>5</v>
      </c>
      <c r="G33" s="20" t="s">
        <v>2</v>
      </c>
      <c r="H33" s="20" t="s">
        <v>6</v>
      </c>
      <c r="I33" s="20" t="s">
        <v>3</v>
      </c>
      <c r="J33" s="20" t="s">
        <v>7</v>
      </c>
      <c r="K33" s="20" t="s">
        <v>4</v>
      </c>
      <c r="L33" s="20" t="s">
        <v>0</v>
      </c>
      <c r="M33" s="20" t="s">
        <v>31</v>
      </c>
      <c r="N33" s="20" t="s">
        <v>29</v>
      </c>
      <c r="O33" s="20" t="s">
        <v>32</v>
      </c>
      <c r="P33" s="20" t="s">
        <v>30</v>
      </c>
      <c r="Q33" s="23" t="s">
        <v>33</v>
      </c>
      <c r="S33" s="69" t="s">
        <v>71</v>
      </c>
      <c r="T33" t="s">
        <v>71</v>
      </c>
      <c r="U33" t="str">
        <f t="shared" si="0"/>
        <v>Preset 7 (tap) Select     (tap holding key 22) Store</v>
      </c>
      <c r="V33" t="s">
        <v>265</v>
      </c>
      <c r="AC33">
        <v>6</v>
      </c>
    </row>
    <row r="34" spans="1:29" x14ac:dyDescent="0.5">
      <c r="A34" s="69">
        <v>34</v>
      </c>
      <c r="B34" s="69" t="s">
        <v>137</v>
      </c>
      <c r="E34" s="30" t="s">
        <v>9</v>
      </c>
      <c r="F34" s="20" t="s">
        <v>30</v>
      </c>
      <c r="G34" s="20" t="s">
        <v>33</v>
      </c>
      <c r="H34" s="20" t="s">
        <v>5</v>
      </c>
      <c r="I34" s="20" t="s">
        <v>2</v>
      </c>
      <c r="J34" s="20" t="s">
        <v>6</v>
      </c>
      <c r="K34" s="20" t="s">
        <v>3</v>
      </c>
      <c r="L34" s="20" t="s">
        <v>7</v>
      </c>
      <c r="M34" s="20" t="s">
        <v>4</v>
      </c>
      <c r="N34" s="20" t="s">
        <v>0</v>
      </c>
      <c r="O34" s="20" t="s">
        <v>31</v>
      </c>
      <c r="P34" s="20" t="s">
        <v>29</v>
      </c>
      <c r="Q34" s="23" t="s">
        <v>32</v>
      </c>
      <c r="S34" s="69" t="s">
        <v>72</v>
      </c>
      <c r="T34" t="s">
        <v>72</v>
      </c>
      <c r="U34" t="str">
        <f t="shared" si="0"/>
        <v>Preset 8 (tap) Select     (tap holding key 22) Store</v>
      </c>
      <c r="V34" t="s">
        <v>264</v>
      </c>
      <c r="AC34">
        <v>7</v>
      </c>
    </row>
    <row r="35" spans="1:29" ht="14.35" customHeight="1" x14ac:dyDescent="0.5">
      <c r="A35" s="69">
        <v>35</v>
      </c>
      <c r="B35" s="69" t="s">
        <v>138</v>
      </c>
      <c r="E35" s="30" t="s">
        <v>12</v>
      </c>
      <c r="F35" s="20" t="s">
        <v>32</v>
      </c>
      <c r="G35" s="20" t="s">
        <v>30</v>
      </c>
      <c r="H35" s="20" t="s">
        <v>33</v>
      </c>
      <c r="I35" s="20" t="s">
        <v>5</v>
      </c>
      <c r="J35" s="20" t="s">
        <v>2</v>
      </c>
      <c r="K35" s="20" t="s">
        <v>6</v>
      </c>
      <c r="L35" s="20" t="s">
        <v>3</v>
      </c>
      <c r="M35" s="20" t="s">
        <v>7</v>
      </c>
      <c r="N35" s="20" t="s">
        <v>4</v>
      </c>
      <c r="O35" s="20" t="s">
        <v>0</v>
      </c>
      <c r="P35" s="20" t="s">
        <v>31</v>
      </c>
      <c r="Q35" s="23" t="s">
        <v>29</v>
      </c>
      <c r="S35" s="69" t="s">
        <v>73</v>
      </c>
      <c r="T35" t="s">
        <v>73</v>
      </c>
      <c r="U35" t="str">
        <f t="shared" si="0"/>
        <v>Preset 9 (tap) Select     (tap holding key 22) Store</v>
      </c>
      <c r="V35" t="s">
        <v>263</v>
      </c>
      <c r="AC35">
        <v>8</v>
      </c>
    </row>
    <row r="36" spans="1:29" ht="14.7" customHeight="1" thickBot="1" x14ac:dyDescent="0.55000000000000004">
      <c r="A36" s="69">
        <v>36</v>
      </c>
      <c r="B36" s="69" t="s">
        <v>139</v>
      </c>
      <c r="E36" s="31" t="s">
        <v>11</v>
      </c>
      <c r="F36" s="24" t="s">
        <v>31</v>
      </c>
      <c r="G36" s="24" t="s">
        <v>29</v>
      </c>
      <c r="H36" s="24" t="s">
        <v>32</v>
      </c>
      <c r="I36" s="24" t="s">
        <v>30</v>
      </c>
      <c r="J36" s="24" t="s">
        <v>33</v>
      </c>
      <c r="K36" s="24" t="s">
        <v>5</v>
      </c>
      <c r="L36" s="24" t="s">
        <v>2</v>
      </c>
      <c r="M36" s="24" t="s">
        <v>6</v>
      </c>
      <c r="N36" s="24" t="s">
        <v>3</v>
      </c>
      <c r="O36" s="24" t="s">
        <v>7</v>
      </c>
      <c r="P36" s="24" t="s">
        <v>4</v>
      </c>
      <c r="Q36" s="27" t="s">
        <v>0</v>
      </c>
      <c r="S36" s="69" t="s">
        <v>74</v>
      </c>
      <c r="T36" t="s">
        <v>74</v>
      </c>
      <c r="U36" t="str">
        <f t="shared" si="0"/>
        <v>Preset 10 (tap) Select     (tap holding key 22) Store</v>
      </c>
      <c r="V36" t="s">
        <v>248</v>
      </c>
      <c r="AC36">
        <v>9</v>
      </c>
    </row>
    <row r="37" spans="1:29" x14ac:dyDescent="0.5">
      <c r="A37" s="69">
        <v>37</v>
      </c>
      <c r="B37" s="69" t="s">
        <v>140</v>
      </c>
      <c r="E37" s="41" t="s">
        <v>49</v>
      </c>
      <c r="F37" s="294" t="s">
        <v>36</v>
      </c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5"/>
      <c r="R37" s="2"/>
      <c r="S37" s="69" t="s">
        <v>75</v>
      </c>
      <c r="T37" t="s">
        <v>75</v>
      </c>
      <c r="U37" t="str">
        <f t="shared" si="0"/>
        <v>Preset 11 (tap) Select     (tap holding key 22) Store</v>
      </c>
      <c r="V37" t="s">
        <v>249</v>
      </c>
      <c r="AC37">
        <v>10</v>
      </c>
    </row>
    <row r="38" spans="1:29" ht="14.35" customHeight="1" x14ac:dyDescent="0.5">
      <c r="A38" s="69">
        <v>38</v>
      </c>
      <c r="B38" s="69" t="s">
        <v>141</v>
      </c>
      <c r="E38" s="30" t="s">
        <v>2</v>
      </c>
      <c r="F38" s="20" t="s">
        <v>14</v>
      </c>
      <c r="G38" s="20" t="s">
        <v>10</v>
      </c>
      <c r="H38" s="21" t="s">
        <v>13</v>
      </c>
      <c r="I38" s="20" t="s">
        <v>9</v>
      </c>
      <c r="J38" s="20" t="s">
        <v>12</v>
      </c>
      <c r="K38" s="22" t="s">
        <v>8</v>
      </c>
      <c r="L38" s="20" t="s">
        <v>11</v>
      </c>
      <c r="M38" s="20"/>
      <c r="N38" s="20"/>
      <c r="O38" s="20"/>
      <c r="P38" s="20"/>
      <c r="Q38" s="23"/>
      <c r="R38" s="2"/>
      <c r="S38" s="69" t="s">
        <v>76</v>
      </c>
      <c r="T38" t="s">
        <v>76</v>
      </c>
      <c r="U38" t="str">
        <f t="shared" si="0"/>
        <v>Preset 12 (tap) Select     (tap holding key 22) Store</v>
      </c>
      <c r="V38" t="s">
        <v>250</v>
      </c>
      <c r="AC38">
        <v>11</v>
      </c>
    </row>
    <row r="39" spans="1:29" ht="14.35" customHeight="1" x14ac:dyDescent="0.5">
      <c r="A39" s="69">
        <v>39</v>
      </c>
      <c r="B39" s="69" t="s">
        <v>142</v>
      </c>
      <c r="E39" s="30" t="s">
        <v>3</v>
      </c>
      <c r="F39" s="20"/>
      <c r="G39" s="20"/>
      <c r="H39" s="20" t="s">
        <v>14</v>
      </c>
      <c r="I39" s="20" t="s">
        <v>10</v>
      </c>
      <c r="J39" s="21" t="s">
        <v>13</v>
      </c>
      <c r="K39" s="20" t="s">
        <v>9</v>
      </c>
      <c r="L39" s="20" t="s">
        <v>12</v>
      </c>
      <c r="M39" s="22" t="s">
        <v>8</v>
      </c>
      <c r="N39" s="20" t="s">
        <v>11</v>
      </c>
      <c r="O39" s="20"/>
      <c r="P39" s="20"/>
      <c r="Q39" s="23"/>
      <c r="R39" s="2"/>
      <c r="S39" s="69" t="s">
        <v>77</v>
      </c>
      <c r="T39" t="s">
        <v>77</v>
      </c>
      <c r="U39" t="str">
        <f t="shared" si="0"/>
        <v>Preset 13 (tap) Select     (tap holding key 22) Store</v>
      </c>
      <c r="V39" t="s">
        <v>251</v>
      </c>
      <c r="AC39">
        <v>12</v>
      </c>
    </row>
    <row r="40" spans="1:29" x14ac:dyDescent="0.5">
      <c r="A40" s="69">
        <v>40</v>
      </c>
      <c r="B40" s="69" t="s">
        <v>143</v>
      </c>
      <c r="E40" s="30" t="s">
        <v>4</v>
      </c>
      <c r="F40" s="20"/>
      <c r="G40" s="20"/>
      <c r="H40" s="20"/>
      <c r="I40" s="20"/>
      <c r="J40" s="20" t="s">
        <v>14</v>
      </c>
      <c r="K40" s="20" t="s">
        <v>10</v>
      </c>
      <c r="L40" s="21" t="s">
        <v>13</v>
      </c>
      <c r="M40" s="20" t="s">
        <v>9</v>
      </c>
      <c r="N40" s="20" t="s">
        <v>12</v>
      </c>
      <c r="O40" s="22" t="s">
        <v>8</v>
      </c>
      <c r="P40" s="20" t="s">
        <v>11</v>
      </c>
      <c r="Q40" s="23"/>
      <c r="R40" s="2"/>
      <c r="S40" s="69" t="s">
        <v>78</v>
      </c>
      <c r="T40" t="s">
        <v>78</v>
      </c>
      <c r="U40" t="str">
        <f t="shared" si="0"/>
        <v>Preset 14 (tap) Select     (tap holding key 22) Store</v>
      </c>
      <c r="V40" t="s">
        <v>252</v>
      </c>
    </row>
    <row r="41" spans="1:29" ht="14.35" customHeight="1" x14ac:dyDescent="0.5">
      <c r="A41" s="69">
        <v>41</v>
      </c>
      <c r="B41" s="69" t="s">
        <v>144</v>
      </c>
      <c r="E41" s="30" t="s">
        <v>5</v>
      </c>
      <c r="F41" s="20" t="s">
        <v>10</v>
      </c>
      <c r="G41" s="21" t="s">
        <v>13</v>
      </c>
      <c r="H41" s="20" t="s">
        <v>9</v>
      </c>
      <c r="I41" s="20" t="s">
        <v>12</v>
      </c>
      <c r="J41" s="22" t="s">
        <v>8</v>
      </c>
      <c r="K41" s="20" t="s">
        <v>11</v>
      </c>
      <c r="L41" s="20"/>
      <c r="M41" s="20"/>
      <c r="N41" s="20"/>
      <c r="O41" s="20"/>
      <c r="P41" s="20"/>
      <c r="Q41" s="23" t="s">
        <v>14</v>
      </c>
      <c r="R41" s="2"/>
      <c r="S41" s="69" t="s">
        <v>79</v>
      </c>
      <c r="T41" t="s">
        <v>79</v>
      </c>
      <c r="U41" t="str">
        <f t="shared" si="0"/>
        <v>Preset 15 (tap) Select     (tap holding key 22) Store</v>
      </c>
      <c r="V41" t="s">
        <v>253</v>
      </c>
    </row>
    <row r="42" spans="1:29" ht="14.35" customHeight="1" x14ac:dyDescent="0.5">
      <c r="A42" s="69">
        <v>42</v>
      </c>
      <c r="B42" s="69" t="s">
        <v>145</v>
      </c>
      <c r="E42" s="30" t="s">
        <v>6</v>
      </c>
      <c r="F42" s="20"/>
      <c r="G42" s="20" t="s">
        <v>14</v>
      </c>
      <c r="H42" s="20" t="s">
        <v>10</v>
      </c>
      <c r="I42" s="21" t="s">
        <v>13</v>
      </c>
      <c r="J42" s="20" t="s">
        <v>9</v>
      </c>
      <c r="K42" s="20" t="s">
        <v>12</v>
      </c>
      <c r="L42" s="22" t="s">
        <v>8</v>
      </c>
      <c r="M42" s="20" t="s">
        <v>11</v>
      </c>
      <c r="N42" s="20"/>
      <c r="O42" s="20"/>
      <c r="P42" s="20"/>
      <c r="Q42" s="23"/>
      <c r="R42" s="2"/>
      <c r="S42" s="69" t="s">
        <v>80</v>
      </c>
      <c r="T42" t="s">
        <v>80</v>
      </c>
      <c r="U42" t="str">
        <f t="shared" si="0"/>
        <v>Preset 16 (tap) Select     (tap holding key 22) Store</v>
      </c>
      <c r="V42" t="s">
        <v>254</v>
      </c>
    </row>
    <row r="43" spans="1:29" x14ac:dyDescent="0.5">
      <c r="A43" s="69">
        <v>43</v>
      </c>
      <c r="B43" s="69" t="s">
        <v>146</v>
      </c>
      <c r="E43" s="30" t="s">
        <v>7</v>
      </c>
      <c r="F43" s="20"/>
      <c r="G43" s="20"/>
      <c r="H43" s="20"/>
      <c r="I43" s="20" t="s">
        <v>14</v>
      </c>
      <c r="J43" s="20" t="s">
        <v>10</v>
      </c>
      <c r="K43" s="21" t="s">
        <v>13</v>
      </c>
      <c r="L43" s="20" t="s">
        <v>9</v>
      </c>
      <c r="M43" s="20" t="s">
        <v>12</v>
      </c>
      <c r="N43" s="22" t="s">
        <v>8</v>
      </c>
      <c r="O43" s="20" t="s">
        <v>11</v>
      </c>
      <c r="P43" s="20"/>
      <c r="Q43" s="23"/>
      <c r="R43" s="2"/>
      <c r="S43" s="69" t="s">
        <v>81</v>
      </c>
      <c r="T43" t="s">
        <v>81</v>
      </c>
      <c r="U43" t="str">
        <f t="shared" si="0"/>
        <v>Preset 17 (tap) Select     (tap holding key 22) Store</v>
      </c>
      <c r="V43" t="s">
        <v>255</v>
      </c>
    </row>
    <row r="44" spans="1:29" ht="14.7" thickBot="1" x14ac:dyDescent="0.55000000000000004">
      <c r="A44" s="69">
        <v>44</v>
      </c>
      <c r="B44" s="69" t="s">
        <v>147</v>
      </c>
      <c r="E44" s="31" t="s">
        <v>0</v>
      </c>
      <c r="F44" s="24"/>
      <c r="G44" s="24"/>
      <c r="H44" s="24"/>
      <c r="I44" s="24"/>
      <c r="J44" s="24"/>
      <c r="K44" s="24" t="s">
        <v>14</v>
      </c>
      <c r="L44" s="24" t="s">
        <v>10</v>
      </c>
      <c r="M44" s="25" t="s">
        <v>13</v>
      </c>
      <c r="N44" s="24" t="s">
        <v>9</v>
      </c>
      <c r="O44" s="24" t="s">
        <v>12</v>
      </c>
      <c r="P44" s="26" t="s">
        <v>8</v>
      </c>
      <c r="Q44" s="27" t="s">
        <v>11</v>
      </c>
      <c r="R44" s="2"/>
      <c r="S44" s="69" t="s">
        <v>82</v>
      </c>
      <c r="T44" t="s">
        <v>82</v>
      </c>
      <c r="U44" t="str">
        <f t="shared" si="0"/>
        <v>Preset 18 (tap) Select     (tap holding key 22) Store</v>
      </c>
      <c r="V44" t="s">
        <v>256</v>
      </c>
    </row>
    <row r="45" spans="1:29" ht="14.35" customHeight="1" thickBot="1" x14ac:dyDescent="0.55000000000000004">
      <c r="A45" s="69">
        <v>45</v>
      </c>
      <c r="B45" s="69" t="s">
        <v>148</v>
      </c>
      <c r="F45">
        <v>0</v>
      </c>
      <c r="G45">
        <v>1</v>
      </c>
      <c r="H45">
        <v>2</v>
      </c>
      <c r="I45">
        <v>3</v>
      </c>
      <c r="J45">
        <v>4</v>
      </c>
      <c r="K45">
        <v>5</v>
      </c>
      <c r="L45">
        <v>6</v>
      </c>
      <c r="M45">
        <v>7</v>
      </c>
      <c r="N45">
        <v>8</v>
      </c>
      <c r="O45">
        <v>9</v>
      </c>
      <c r="P45">
        <v>10</v>
      </c>
      <c r="Q45">
        <v>11</v>
      </c>
      <c r="S45" s="69" t="s">
        <v>83</v>
      </c>
      <c r="T45" t="s">
        <v>83</v>
      </c>
      <c r="U45" t="str">
        <f t="shared" si="0"/>
        <v>Preset 19 (tap) Select     (tap holding key 22) Store</v>
      </c>
      <c r="V45" t="s">
        <v>257</v>
      </c>
    </row>
    <row r="46" spans="1:29" ht="14.35" customHeight="1" x14ac:dyDescent="0.5">
      <c r="A46" s="69">
        <v>46</v>
      </c>
      <c r="B46" s="69" t="s">
        <v>149</v>
      </c>
      <c r="F46" s="33" t="s">
        <v>2</v>
      </c>
      <c r="G46" s="298" t="s">
        <v>29</v>
      </c>
      <c r="H46" s="33" t="s">
        <v>3</v>
      </c>
      <c r="I46" s="298" t="s">
        <v>30</v>
      </c>
      <c r="J46" s="33" t="s">
        <v>4</v>
      </c>
      <c r="K46" s="33" t="s">
        <v>5</v>
      </c>
      <c r="L46" s="298" t="s">
        <v>31</v>
      </c>
      <c r="M46" s="33" t="s">
        <v>6</v>
      </c>
      <c r="N46" s="298" t="s">
        <v>32</v>
      </c>
      <c r="O46" s="33" t="s">
        <v>7</v>
      </c>
      <c r="P46" s="298" t="s">
        <v>33</v>
      </c>
      <c r="Q46" s="34" t="s">
        <v>0</v>
      </c>
      <c r="S46" s="69" t="s">
        <v>84</v>
      </c>
      <c r="T46" t="s">
        <v>84</v>
      </c>
      <c r="U46" t="str">
        <f t="shared" si="0"/>
        <v>Preset 20 (tap) Select     (tap holding key 22) Store</v>
      </c>
      <c r="V46" t="s">
        <v>258</v>
      </c>
    </row>
    <row r="47" spans="1:29" x14ac:dyDescent="0.5">
      <c r="A47" s="69">
        <v>47</v>
      </c>
      <c r="B47" s="69" t="s">
        <v>150</v>
      </c>
      <c r="D47" s="30">
        <v>-5</v>
      </c>
      <c r="E47" s="71" t="s">
        <v>274</v>
      </c>
      <c r="F47">
        <v>0</v>
      </c>
      <c r="G47" s="301">
        <v>1</v>
      </c>
      <c r="H47" s="300">
        <v>1</v>
      </c>
      <c r="I47" s="301">
        <v>3</v>
      </c>
      <c r="J47" s="300">
        <v>3</v>
      </c>
      <c r="K47">
        <v>5</v>
      </c>
      <c r="L47" s="301">
        <v>6</v>
      </c>
      <c r="M47" s="300">
        <v>6</v>
      </c>
      <c r="N47" s="301">
        <v>8</v>
      </c>
      <c r="O47" s="300">
        <v>8</v>
      </c>
      <c r="P47" s="301">
        <v>10</v>
      </c>
      <c r="Q47" s="300">
        <v>10</v>
      </c>
      <c r="S47" s="69" t="s">
        <v>85</v>
      </c>
      <c r="T47" t="s">
        <v>85</v>
      </c>
      <c r="U47" t="str">
        <f t="shared" si="0"/>
        <v>Preset 21 (tap) Select     (tap holding key 22) Store</v>
      </c>
      <c r="V47" t="s">
        <v>259</v>
      </c>
    </row>
    <row r="48" spans="1:29" ht="14.35" customHeight="1" x14ac:dyDescent="0.5">
      <c r="A48" s="69">
        <v>48</v>
      </c>
      <c r="B48" s="69" t="s">
        <v>151</v>
      </c>
      <c r="D48" s="30">
        <v>-4</v>
      </c>
      <c r="E48" s="71" t="s">
        <v>274</v>
      </c>
      <c r="F48">
        <v>0</v>
      </c>
      <c r="G48" s="301">
        <v>1</v>
      </c>
      <c r="H48" s="300">
        <v>1</v>
      </c>
      <c r="I48" s="301">
        <v>3</v>
      </c>
      <c r="J48" s="300">
        <v>3</v>
      </c>
      <c r="K48">
        <v>5</v>
      </c>
      <c r="L48" s="299">
        <v>5</v>
      </c>
      <c r="M48">
        <v>7</v>
      </c>
      <c r="N48" s="301">
        <v>8</v>
      </c>
      <c r="O48" s="300">
        <v>8</v>
      </c>
      <c r="P48" s="301">
        <v>10</v>
      </c>
      <c r="Q48" s="300">
        <v>10</v>
      </c>
      <c r="S48" s="69" t="s">
        <v>86</v>
      </c>
      <c r="T48" t="s">
        <v>86</v>
      </c>
      <c r="U48" t="str">
        <f t="shared" si="0"/>
        <v>Preset 22 (tap) Select     (tap holding key 22) Store</v>
      </c>
      <c r="V48" t="s">
        <v>260</v>
      </c>
    </row>
    <row r="49" spans="1:22" ht="14.35" customHeight="1" x14ac:dyDescent="0.5">
      <c r="A49" s="69">
        <v>49</v>
      </c>
      <c r="B49" s="69" t="s">
        <v>152</v>
      </c>
      <c r="D49" s="30">
        <v>-3</v>
      </c>
      <c r="E49" s="71" t="s">
        <v>274</v>
      </c>
      <c r="F49">
        <v>0</v>
      </c>
      <c r="G49" s="299">
        <v>0</v>
      </c>
      <c r="H49">
        <v>2</v>
      </c>
      <c r="I49" s="301">
        <v>3</v>
      </c>
      <c r="J49" s="300">
        <v>3</v>
      </c>
      <c r="K49">
        <v>5</v>
      </c>
      <c r="L49" s="299">
        <v>5</v>
      </c>
      <c r="M49">
        <v>7</v>
      </c>
      <c r="N49" s="301">
        <v>8</v>
      </c>
      <c r="O49" s="300">
        <v>8</v>
      </c>
      <c r="P49" s="301">
        <v>10</v>
      </c>
      <c r="Q49" s="300">
        <v>10</v>
      </c>
      <c r="S49" s="69" t="s">
        <v>87</v>
      </c>
      <c r="T49" t="s">
        <v>87</v>
      </c>
      <c r="U49" t="str">
        <f t="shared" si="0"/>
        <v>Preset 23 (tap) Select     (tap holding key 22) Store</v>
      </c>
      <c r="V49" t="s">
        <v>261</v>
      </c>
    </row>
    <row r="50" spans="1:22" x14ac:dyDescent="0.5">
      <c r="A50" s="69">
        <v>50</v>
      </c>
      <c r="B50" s="69" t="s">
        <v>153</v>
      </c>
      <c r="D50" s="30">
        <v>-2</v>
      </c>
      <c r="E50" s="71" t="s">
        <v>274</v>
      </c>
      <c r="F50">
        <v>0</v>
      </c>
      <c r="G50" s="299">
        <v>0</v>
      </c>
      <c r="H50">
        <v>2</v>
      </c>
      <c r="I50" s="301">
        <v>3</v>
      </c>
      <c r="J50" s="300">
        <v>3</v>
      </c>
      <c r="K50">
        <v>5</v>
      </c>
      <c r="L50" s="299">
        <v>5</v>
      </c>
      <c r="M50">
        <v>7</v>
      </c>
      <c r="N50" s="299">
        <v>7</v>
      </c>
      <c r="O50">
        <v>9</v>
      </c>
      <c r="P50" s="301">
        <v>10</v>
      </c>
      <c r="Q50" s="300">
        <v>10</v>
      </c>
      <c r="S50" s="69" t="s">
        <v>88</v>
      </c>
      <c r="T50" t="s">
        <v>88</v>
      </c>
      <c r="U50" t="str">
        <f t="shared" si="0"/>
        <v>Preset 24 (tap) Select     (tap holding key 22) Store</v>
      </c>
      <c r="V50" t="s">
        <v>262</v>
      </c>
    </row>
    <row r="51" spans="1:22" x14ac:dyDescent="0.5">
      <c r="A51" s="69">
        <v>51</v>
      </c>
      <c r="B51" s="69" t="s">
        <v>154</v>
      </c>
      <c r="D51" s="30">
        <v>-1</v>
      </c>
      <c r="E51" s="71" t="s">
        <v>274</v>
      </c>
      <c r="F51">
        <v>0</v>
      </c>
      <c r="G51" s="299">
        <v>0</v>
      </c>
      <c r="H51">
        <v>2</v>
      </c>
      <c r="I51" s="299">
        <v>1</v>
      </c>
      <c r="J51">
        <v>4</v>
      </c>
      <c r="K51">
        <v>5</v>
      </c>
      <c r="L51" s="299">
        <v>5</v>
      </c>
      <c r="M51">
        <v>7</v>
      </c>
      <c r="N51" s="299">
        <v>7</v>
      </c>
      <c r="O51">
        <v>9</v>
      </c>
      <c r="P51" s="301">
        <v>10</v>
      </c>
      <c r="Q51" s="300">
        <v>10</v>
      </c>
    </row>
    <row r="52" spans="1:22" ht="14.35" customHeight="1" x14ac:dyDescent="0.5">
      <c r="A52" s="69">
        <v>52</v>
      </c>
      <c r="B52" s="69" t="s">
        <v>155</v>
      </c>
      <c r="D52" s="83">
        <v>0</v>
      </c>
      <c r="E52" s="71" t="s">
        <v>274</v>
      </c>
      <c r="F52">
        <v>0</v>
      </c>
      <c r="G52" s="299">
        <v>0</v>
      </c>
      <c r="H52">
        <v>2</v>
      </c>
      <c r="I52" s="299">
        <v>2</v>
      </c>
      <c r="J52">
        <v>4</v>
      </c>
      <c r="K52">
        <v>5</v>
      </c>
      <c r="L52" s="299">
        <v>5</v>
      </c>
      <c r="M52">
        <v>7</v>
      </c>
      <c r="N52" s="299">
        <v>7</v>
      </c>
      <c r="O52">
        <v>9</v>
      </c>
      <c r="P52" s="299">
        <v>9</v>
      </c>
      <c r="Q52">
        <v>11</v>
      </c>
    </row>
    <row r="53" spans="1:22" ht="14.35" customHeight="1" x14ac:dyDescent="0.5">
      <c r="A53" s="69">
        <v>53</v>
      </c>
      <c r="B53" s="69" t="s">
        <v>156</v>
      </c>
      <c r="D53" s="30">
        <v>1</v>
      </c>
      <c r="E53" s="71" t="s">
        <v>274</v>
      </c>
      <c r="F53">
        <v>0</v>
      </c>
      <c r="G53" s="299">
        <v>0</v>
      </c>
      <c r="H53">
        <v>2</v>
      </c>
      <c r="I53" s="299">
        <v>2</v>
      </c>
      <c r="J53">
        <v>4</v>
      </c>
      <c r="K53" s="300">
        <v>6</v>
      </c>
      <c r="L53" s="301">
        <v>6</v>
      </c>
      <c r="M53">
        <v>7</v>
      </c>
      <c r="N53" s="299">
        <v>7</v>
      </c>
      <c r="O53">
        <v>9</v>
      </c>
      <c r="P53" s="299">
        <v>9</v>
      </c>
      <c r="Q53">
        <v>11</v>
      </c>
    </row>
    <row r="54" spans="1:22" x14ac:dyDescent="0.5">
      <c r="A54" s="69">
        <v>54</v>
      </c>
      <c r="B54" s="69" t="s">
        <v>157</v>
      </c>
      <c r="D54" s="30">
        <v>2</v>
      </c>
      <c r="E54" s="71" t="s">
        <v>274</v>
      </c>
      <c r="F54" s="300">
        <v>1</v>
      </c>
      <c r="G54" s="301">
        <v>1</v>
      </c>
      <c r="H54">
        <v>2</v>
      </c>
      <c r="I54" s="299">
        <v>2</v>
      </c>
      <c r="J54">
        <v>4</v>
      </c>
      <c r="K54" s="300">
        <v>6</v>
      </c>
      <c r="L54" s="301">
        <v>6</v>
      </c>
      <c r="M54">
        <v>7</v>
      </c>
      <c r="N54" s="299">
        <v>7</v>
      </c>
      <c r="O54">
        <v>9</v>
      </c>
      <c r="P54" s="299">
        <v>9</v>
      </c>
      <c r="Q54">
        <v>11</v>
      </c>
    </row>
    <row r="55" spans="1:22" ht="14.35" customHeight="1" x14ac:dyDescent="0.5">
      <c r="A55" s="69">
        <v>55</v>
      </c>
      <c r="B55" s="69" t="s">
        <v>158</v>
      </c>
      <c r="D55" s="30">
        <v>3</v>
      </c>
      <c r="E55" s="71" t="s">
        <v>274</v>
      </c>
      <c r="F55" s="300">
        <v>1</v>
      </c>
      <c r="G55" s="301">
        <v>1</v>
      </c>
      <c r="H55">
        <v>2</v>
      </c>
      <c r="I55" s="299">
        <v>2</v>
      </c>
      <c r="J55">
        <v>4</v>
      </c>
      <c r="K55" s="300">
        <v>6</v>
      </c>
      <c r="L55" s="301">
        <v>6</v>
      </c>
      <c r="M55" s="300">
        <v>8</v>
      </c>
      <c r="N55" s="301">
        <v>8</v>
      </c>
      <c r="O55">
        <v>9</v>
      </c>
      <c r="P55" s="299">
        <v>9</v>
      </c>
      <c r="Q55">
        <v>11</v>
      </c>
    </row>
    <row r="56" spans="1:22" ht="14.35" customHeight="1" x14ac:dyDescent="0.5">
      <c r="A56" s="69">
        <v>56</v>
      </c>
      <c r="B56" s="69" t="s">
        <v>159</v>
      </c>
      <c r="D56" s="30">
        <v>4</v>
      </c>
      <c r="E56" s="71" t="s">
        <v>274</v>
      </c>
      <c r="F56" s="300">
        <v>1</v>
      </c>
      <c r="G56" s="301">
        <v>1</v>
      </c>
      <c r="H56" s="300">
        <v>3</v>
      </c>
      <c r="I56" s="301">
        <v>3</v>
      </c>
      <c r="J56">
        <v>4</v>
      </c>
      <c r="K56" s="300">
        <v>6</v>
      </c>
      <c r="L56" s="301">
        <v>6</v>
      </c>
      <c r="M56" s="300">
        <v>8</v>
      </c>
      <c r="N56" s="301">
        <v>8</v>
      </c>
      <c r="O56">
        <v>9</v>
      </c>
      <c r="P56" s="299">
        <v>9</v>
      </c>
      <c r="Q56">
        <v>11</v>
      </c>
    </row>
    <row r="57" spans="1:22" x14ac:dyDescent="0.5">
      <c r="A57" s="69">
        <v>57</v>
      </c>
      <c r="B57" s="69" t="s">
        <v>160</v>
      </c>
      <c r="D57" s="30">
        <v>5</v>
      </c>
      <c r="E57" s="71" t="s">
        <v>274</v>
      </c>
      <c r="F57" s="300">
        <v>1</v>
      </c>
      <c r="G57" s="301">
        <v>1</v>
      </c>
      <c r="H57" s="300">
        <v>3</v>
      </c>
      <c r="I57" s="301">
        <v>3</v>
      </c>
      <c r="J57">
        <v>4</v>
      </c>
      <c r="K57" s="300">
        <v>6</v>
      </c>
      <c r="L57" s="301">
        <v>6</v>
      </c>
      <c r="M57" s="300">
        <v>8</v>
      </c>
      <c r="N57" s="301">
        <v>8</v>
      </c>
      <c r="O57" s="300">
        <v>10</v>
      </c>
      <c r="P57" s="301">
        <v>10</v>
      </c>
      <c r="Q57">
        <v>11</v>
      </c>
    </row>
    <row r="58" spans="1:22" ht="14.35" customHeight="1" thickBot="1" x14ac:dyDescent="0.55000000000000004">
      <c r="A58" s="69">
        <v>58</v>
      </c>
      <c r="B58" s="69" t="s">
        <v>161</v>
      </c>
      <c r="D58" s="31">
        <v>6</v>
      </c>
      <c r="E58" s="71" t="s">
        <v>274</v>
      </c>
      <c r="F58" s="300">
        <v>1</v>
      </c>
      <c r="G58" s="301">
        <v>1</v>
      </c>
      <c r="H58" s="300">
        <v>3</v>
      </c>
      <c r="I58" s="301">
        <v>3</v>
      </c>
      <c r="J58" s="300">
        <v>5</v>
      </c>
      <c r="K58" s="300">
        <v>6</v>
      </c>
      <c r="L58" s="301">
        <v>6</v>
      </c>
      <c r="M58" s="300">
        <v>8</v>
      </c>
      <c r="N58" s="301">
        <v>8</v>
      </c>
      <c r="O58" s="300">
        <v>10</v>
      </c>
      <c r="P58" s="301">
        <v>10</v>
      </c>
      <c r="Q58">
        <v>11</v>
      </c>
    </row>
    <row r="59" spans="1:22" ht="14.35" customHeight="1" x14ac:dyDescent="0.5">
      <c r="A59" s="69">
        <v>59</v>
      </c>
      <c r="B59" s="69" t="s">
        <v>162</v>
      </c>
    </row>
    <row r="60" spans="1:22" x14ac:dyDescent="0.5">
      <c r="A60" s="69">
        <v>60</v>
      </c>
      <c r="B60" s="69" t="s">
        <v>163</v>
      </c>
    </row>
    <row r="61" spans="1:22" x14ac:dyDescent="0.5">
      <c r="A61" s="69">
        <v>61</v>
      </c>
      <c r="B61" s="69" t="s">
        <v>164</v>
      </c>
    </row>
    <row r="62" spans="1:22" x14ac:dyDescent="0.5">
      <c r="A62" s="69">
        <v>62</v>
      </c>
      <c r="B62" s="69" t="s">
        <v>165</v>
      </c>
    </row>
    <row r="63" spans="1:22" x14ac:dyDescent="0.5">
      <c r="A63" s="69">
        <v>63</v>
      </c>
      <c r="B63" s="69" t="s">
        <v>166</v>
      </c>
    </row>
    <row r="64" spans="1:22" x14ac:dyDescent="0.5">
      <c r="A64" s="69">
        <v>64</v>
      </c>
      <c r="B64" s="69" t="s">
        <v>167</v>
      </c>
    </row>
    <row r="65" spans="1:19" x14ac:dyDescent="0.5">
      <c r="A65" s="69">
        <v>65</v>
      </c>
      <c r="B65" s="69" t="s">
        <v>168</v>
      </c>
    </row>
    <row r="66" spans="1:19" x14ac:dyDescent="0.5">
      <c r="A66" s="69">
        <v>66</v>
      </c>
      <c r="B66" s="69" t="s">
        <v>169</v>
      </c>
      <c r="D66" s="30">
        <v>-5</v>
      </c>
      <c r="E66" s="71" t="s">
        <v>274</v>
      </c>
      <c r="F66" t="s">
        <v>54</v>
      </c>
      <c r="G66" t="s">
        <v>194</v>
      </c>
      <c r="H66" t="s">
        <v>55</v>
      </c>
      <c r="I66" t="s">
        <v>195</v>
      </c>
      <c r="J66" t="s">
        <v>56</v>
      </c>
      <c r="K66" t="s">
        <v>196</v>
      </c>
      <c r="L66" t="s">
        <v>57</v>
      </c>
      <c r="M66" t="s">
        <v>197</v>
      </c>
      <c r="N66" t="s">
        <v>58</v>
      </c>
      <c r="O66" t="s">
        <v>198</v>
      </c>
      <c r="P66" t="s">
        <v>59</v>
      </c>
      <c r="Q66" t="s">
        <v>199</v>
      </c>
      <c r="R66" t="s">
        <v>60</v>
      </c>
      <c r="S66" t="s">
        <v>200</v>
      </c>
    </row>
    <row r="67" spans="1:19" x14ac:dyDescent="0.5">
      <c r="A67" s="69">
        <v>67</v>
      </c>
      <c r="B67" s="69" t="s">
        <v>170</v>
      </c>
      <c r="D67" s="30">
        <v>-4</v>
      </c>
      <c r="E67" s="71" t="s">
        <v>274</v>
      </c>
      <c r="F67" t="s">
        <v>54</v>
      </c>
      <c r="G67" t="s">
        <v>197</v>
      </c>
      <c r="H67" t="s">
        <v>55</v>
      </c>
      <c r="I67" t="s">
        <v>198</v>
      </c>
      <c r="J67" t="s">
        <v>56</v>
      </c>
      <c r="K67" t="s">
        <v>199</v>
      </c>
      <c r="L67" t="s">
        <v>57</v>
      </c>
      <c r="M67" t="s">
        <v>200</v>
      </c>
      <c r="N67" t="s">
        <v>6</v>
      </c>
      <c r="O67" t="s">
        <v>194</v>
      </c>
      <c r="P67" t="s">
        <v>59</v>
      </c>
      <c r="Q67" t="s">
        <v>195</v>
      </c>
      <c r="R67" t="s">
        <v>60</v>
      </c>
      <c r="S67" t="s">
        <v>196</v>
      </c>
    </row>
    <row r="68" spans="1:19" x14ac:dyDescent="0.5">
      <c r="A68" s="69">
        <v>68</v>
      </c>
      <c r="B68" s="69" t="s">
        <v>171</v>
      </c>
      <c r="D68" s="30">
        <v>-3</v>
      </c>
      <c r="E68" s="71" t="s">
        <v>274</v>
      </c>
      <c r="F68" t="s">
        <v>54</v>
      </c>
      <c r="G68" t="s">
        <v>200</v>
      </c>
      <c r="H68" t="s">
        <v>3</v>
      </c>
      <c r="I68" t="s">
        <v>194</v>
      </c>
      <c r="J68" t="s">
        <v>56</v>
      </c>
      <c r="K68" t="s">
        <v>195</v>
      </c>
      <c r="L68" t="s">
        <v>57</v>
      </c>
      <c r="M68" t="s">
        <v>196</v>
      </c>
      <c r="N68" t="s">
        <v>6</v>
      </c>
      <c r="O68" t="s">
        <v>197</v>
      </c>
      <c r="P68" t="s">
        <v>59</v>
      </c>
      <c r="Q68" t="s">
        <v>198</v>
      </c>
      <c r="R68" t="s">
        <v>60</v>
      </c>
      <c r="S68" t="s">
        <v>199</v>
      </c>
    </row>
    <row r="69" spans="1:19" x14ac:dyDescent="0.5">
      <c r="A69" s="69">
        <v>69</v>
      </c>
      <c r="B69" s="69" t="s">
        <v>172</v>
      </c>
      <c r="D69" s="30">
        <v>-2</v>
      </c>
      <c r="E69" s="71" t="s">
        <v>274</v>
      </c>
      <c r="F69" t="s">
        <v>54</v>
      </c>
      <c r="G69" t="s">
        <v>196</v>
      </c>
      <c r="H69" t="s">
        <v>3</v>
      </c>
      <c r="I69" t="s">
        <v>197</v>
      </c>
      <c r="J69" t="s">
        <v>56</v>
      </c>
      <c r="K69" t="s">
        <v>198</v>
      </c>
      <c r="L69" t="s">
        <v>57</v>
      </c>
      <c r="M69" t="s">
        <v>199</v>
      </c>
      <c r="N69" t="s">
        <v>6</v>
      </c>
      <c r="O69" t="s">
        <v>200</v>
      </c>
      <c r="P69" t="s">
        <v>7</v>
      </c>
      <c r="Q69" t="s">
        <v>194</v>
      </c>
      <c r="R69" t="s">
        <v>60</v>
      </c>
      <c r="S69" t="s">
        <v>195</v>
      </c>
    </row>
    <row r="70" spans="1:19" x14ac:dyDescent="0.5">
      <c r="A70" s="69">
        <v>70</v>
      </c>
      <c r="B70" s="69" t="s">
        <v>173</v>
      </c>
      <c r="D70" s="30">
        <v>-1</v>
      </c>
      <c r="E70" s="71" t="s">
        <v>274</v>
      </c>
      <c r="F70" t="s">
        <v>54</v>
      </c>
      <c r="G70" t="s">
        <v>199</v>
      </c>
      <c r="H70" t="s">
        <v>3</v>
      </c>
      <c r="I70" t="s">
        <v>200</v>
      </c>
      <c r="J70" t="s">
        <v>61</v>
      </c>
      <c r="K70" t="s">
        <v>194</v>
      </c>
      <c r="L70" t="s">
        <v>57</v>
      </c>
      <c r="M70" t="s">
        <v>195</v>
      </c>
      <c r="N70" t="s">
        <v>6</v>
      </c>
      <c r="O70" t="s">
        <v>196</v>
      </c>
      <c r="P70" t="s">
        <v>7</v>
      </c>
      <c r="Q70" t="s">
        <v>197</v>
      </c>
      <c r="R70" t="s">
        <v>60</v>
      </c>
      <c r="S70" t="s">
        <v>198</v>
      </c>
    </row>
    <row r="71" spans="1:19" x14ac:dyDescent="0.5">
      <c r="A71" s="69">
        <v>71</v>
      </c>
      <c r="B71" s="69" t="s">
        <v>174</v>
      </c>
      <c r="D71" s="83">
        <v>0</v>
      </c>
      <c r="E71" s="71" t="s">
        <v>274</v>
      </c>
      <c r="F71" t="s">
        <v>54</v>
      </c>
      <c r="G71" t="s">
        <v>195</v>
      </c>
      <c r="H71" t="s">
        <v>3</v>
      </c>
      <c r="I71" t="s">
        <v>196</v>
      </c>
      <c r="J71" t="s">
        <v>61</v>
      </c>
      <c r="K71" t="s">
        <v>197</v>
      </c>
      <c r="L71" t="s">
        <v>57</v>
      </c>
      <c r="M71" t="s">
        <v>198</v>
      </c>
      <c r="N71" t="s">
        <v>6</v>
      </c>
      <c r="O71" t="s">
        <v>199</v>
      </c>
      <c r="P71" t="s">
        <v>7</v>
      </c>
      <c r="Q71" t="s">
        <v>200</v>
      </c>
      <c r="R71" t="s">
        <v>62</v>
      </c>
      <c r="S71" t="s">
        <v>194</v>
      </c>
    </row>
    <row r="72" spans="1:19" x14ac:dyDescent="0.5">
      <c r="A72" s="69">
        <v>72</v>
      </c>
      <c r="B72" s="69" t="s">
        <v>175</v>
      </c>
      <c r="D72" s="30">
        <v>1</v>
      </c>
      <c r="E72" s="71" t="s">
        <v>274</v>
      </c>
      <c r="F72" t="s">
        <v>54</v>
      </c>
      <c r="G72" t="s">
        <v>198</v>
      </c>
      <c r="H72" t="s">
        <v>3</v>
      </c>
      <c r="I72" t="s">
        <v>199</v>
      </c>
      <c r="J72" t="s">
        <v>61</v>
      </c>
      <c r="K72" t="s">
        <v>200</v>
      </c>
      <c r="L72" t="s">
        <v>58</v>
      </c>
      <c r="M72" t="s">
        <v>194</v>
      </c>
      <c r="N72" t="s">
        <v>6</v>
      </c>
      <c r="O72" t="s">
        <v>195</v>
      </c>
      <c r="P72" t="s">
        <v>7</v>
      </c>
      <c r="Q72" t="s">
        <v>196</v>
      </c>
      <c r="R72" t="s">
        <v>62</v>
      </c>
      <c r="S72" t="s">
        <v>197</v>
      </c>
    </row>
    <row r="73" spans="1:19" x14ac:dyDescent="0.5">
      <c r="A73" s="69">
        <v>73</v>
      </c>
      <c r="B73" s="69" t="s">
        <v>176</v>
      </c>
      <c r="D73" s="30">
        <v>2</v>
      </c>
      <c r="E73" s="71" t="s">
        <v>274</v>
      </c>
      <c r="F73" t="s">
        <v>55</v>
      </c>
      <c r="G73" t="s">
        <v>194</v>
      </c>
      <c r="H73" t="s">
        <v>3</v>
      </c>
      <c r="I73" t="s">
        <v>195</v>
      </c>
      <c r="J73" t="s">
        <v>61</v>
      </c>
      <c r="K73" t="s">
        <v>196</v>
      </c>
      <c r="L73" t="s">
        <v>58</v>
      </c>
      <c r="M73" t="s">
        <v>197</v>
      </c>
      <c r="N73" t="s">
        <v>6</v>
      </c>
      <c r="O73" t="s">
        <v>198</v>
      </c>
      <c r="P73" t="s">
        <v>7</v>
      </c>
      <c r="Q73" t="s">
        <v>199</v>
      </c>
      <c r="R73" t="s">
        <v>62</v>
      </c>
      <c r="S73" t="s">
        <v>200</v>
      </c>
    </row>
    <row r="74" spans="1:19" x14ac:dyDescent="0.5">
      <c r="A74" s="69">
        <v>74</v>
      </c>
      <c r="B74" s="69" t="s">
        <v>177</v>
      </c>
      <c r="D74" s="30">
        <v>3</v>
      </c>
      <c r="E74" s="71" t="s">
        <v>274</v>
      </c>
      <c r="F74" t="s">
        <v>55</v>
      </c>
      <c r="G74" t="s">
        <v>197</v>
      </c>
      <c r="H74" t="s">
        <v>3</v>
      </c>
      <c r="I74" t="s">
        <v>198</v>
      </c>
      <c r="J74" t="s">
        <v>61</v>
      </c>
      <c r="K74" t="s">
        <v>199</v>
      </c>
      <c r="L74" t="s">
        <v>58</v>
      </c>
      <c r="M74" t="s">
        <v>200</v>
      </c>
      <c r="N74" t="s">
        <v>59</v>
      </c>
      <c r="O74" t="s">
        <v>194</v>
      </c>
      <c r="P74" t="s">
        <v>7</v>
      </c>
      <c r="Q74" t="s">
        <v>195</v>
      </c>
      <c r="R74" t="s">
        <v>62</v>
      </c>
      <c r="S74" t="s">
        <v>196</v>
      </c>
    </row>
    <row r="75" spans="1:19" x14ac:dyDescent="0.5">
      <c r="A75" s="69">
        <v>75</v>
      </c>
      <c r="B75" s="69" t="s">
        <v>178</v>
      </c>
      <c r="D75" s="30">
        <v>4</v>
      </c>
      <c r="E75" s="71" t="s">
        <v>274</v>
      </c>
      <c r="F75" t="s">
        <v>55</v>
      </c>
      <c r="G75" t="s">
        <v>200</v>
      </c>
      <c r="H75" t="s">
        <v>56</v>
      </c>
      <c r="I75" t="s">
        <v>194</v>
      </c>
      <c r="J75" t="s">
        <v>61</v>
      </c>
      <c r="K75" t="s">
        <v>195</v>
      </c>
      <c r="L75" t="s">
        <v>58</v>
      </c>
      <c r="M75" t="s">
        <v>196</v>
      </c>
      <c r="N75" t="s">
        <v>59</v>
      </c>
      <c r="O75" t="s">
        <v>197</v>
      </c>
      <c r="P75" t="s">
        <v>7</v>
      </c>
      <c r="Q75" t="s">
        <v>198</v>
      </c>
      <c r="R75" t="s">
        <v>62</v>
      </c>
      <c r="S75" t="s">
        <v>199</v>
      </c>
    </row>
    <row r="76" spans="1:19" x14ac:dyDescent="0.5">
      <c r="A76" s="69">
        <v>76</v>
      </c>
      <c r="B76" s="69" t="s">
        <v>179</v>
      </c>
      <c r="D76" s="30">
        <v>5</v>
      </c>
      <c r="E76" s="71" t="s">
        <v>274</v>
      </c>
      <c r="F76" t="s">
        <v>55</v>
      </c>
      <c r="G76" t="s">
        <v>196</v>
      </c>
      <c r="H76" t="s">
        <v>56</v>
      </c>
      <c r="I76" t="s">
        <v>197</v>
      </c>
      <c r="J76" t="s">
        <v>61</v>
      </c>
      <c r="K76" t="s">
        <v>198</v>
      </c>
      <c r="L76" t="s">
        <v>58</v>
      </c>
      <c r="M76" t="s">
        <v>199</v>
      </c>
      <c r="N76" t="s">
        <v>59</v>
      </c>
      <c r="O76" t="s">
        <v>200</v>
      </c>
      <c r="P76" t="s">
        <v>60</v>
      </c>
      <c r="Q76" t="s">
        <v>194</v>
      </c>
      <c r="R76" t="s">
        <v>62</v>
      </c>
      <c r="S76" t="s">
        <v>195</v>
      </c>
    </row>
    <row r="77" spans="1:19" ht="14.7" thickBot="1" x14ac:dyDescent="0.55000000000000004">
      <c r="A77" s="69">
        <v>77</v>
      </c>
      <c r="B77" s="69" t="s">
        <v>180</v>
      </c>
      <c r="D77" s="31">
        <v>6</v>
      </c>
      <c r="E77" s="71" t="s">
        <v>274</v>
      </c>
      <c r="F77" t="s">
        <v>55</v>
      </c>
      <c r="G77" t="s">
        <v>199</v>
      </c>
      <c r="H77" t="s">
        <v>56</v>
      </c>
      <c r="I77" t="s">
        <v>200</v>
      </c>
      <c r="J77" t="s">
        <v>57</v>
      </c>
      <c r="K77" t="s">
        <v>194</v>
      </c>
      <c r="L77" t="s">
        <v>58</v>
      </c>
      <c r="M77" t="s">
        <v>195</v>
      </c>
      <c r="N77" t="s">
        <v>59</v>
      </c>
      <c r="O77" t="s">
        <v>196</v>
      </c>
      <c r="P77" t="s">
        <v>60</v>
      </c>
      <c r="Q77" t="s">
        <v>197</v>
      </c>
      <c r="R77" t="s">
        <v>62</v>
      </c>
      <c r="S77" t="s">
        <v>198</v>
      </c>
    </row>
    <row r="78" spans="1:19" x14ac:dyDescent="0.5">
      <c r="A78" s="69">
        <v>78</v>
      </c>
      <c r="B78" s="69" t="s">
        <v>181</v>
      </c>
    </row>
    <row r="79" spans="1:19" x14ac:dyDescent="0.5">
      <c r="A79" s="69">
        <v>79</v>
      </c>
      <c r="B79" s="69" t="s">
        <v>182</v>
      </c>
    </row>
    <row r="80" spans="1:19" x14ac:dyDescent="0.5">
      <c r="A80" s="69">
        <v>80</v>
      </c>
      <c r="B80" s="69" t="s">
        <v>183</v>
      </c>
    </row>
    <row r="81" spans="1:2" x14ac:dyDescent="0.5">
      <c r="A81" s="69">
        <v>81</v>
      </c>
      <c r="B81" s="69" t="s">
        <v>184</v>
      </c>
    </row>
    <row r="82" spans="1:2" x14ac:dyDescent="0.5">
      <c r="A82" s="69">
        <v>82</v>
      </c>
      <c r="B82" s="69" t="s">
        <v>185</v>
      </c>
    </row>
    <row r="83" spans="1:2" x14ac:dyDescent="0.5">
      <c r="A83" s="69">
        <v>83</v>
      </c>
      <c r="B83" s="69" t="s">
        <v>186</v>
      </c>
    </row>
    <row r="84" spans="1:2" x14ac:dyDescent="0.5">
      <c r="A84" s="69">
        <v>84</v>
      </c>
      <c r="B84" s="69" t="s">
        <v>187</v>
      </c>
    </row>
    <row r="85" spans="1:2" x14ac:dyDescent="0.5">
      <c r="A85" s="69">
        <v>85</v>
      </c>
      <c r="B85" s="69" t="s">
        <v>188</v>
      </c>
    </row>
    <row r="86" spans="1:2" x14ac:dyDescent="0.5">
      <c r="A86" s="69">
        <v>86</v>
      </c>
      <c r="B86" s="69" t="s">
        <v>189</v>
      </c>
    </row>
    <row r="87" spans="1:2" x14ac:dyDescent="0.5">
      <c r="A87" s="69">
        <v>87</v>
      </c>
      <c r="B87" s="69" t="s">
        <v>190</v>
      </c>
    </row>
  </sheetData>
  <mergeCells count="1">
    <mergeCell ref="F37:Q37"/>
  </mergeCells>
  <phoneticPr fontId="10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Sheet4</vt:lpstr>
      <vt:lpstr>Sheet3</vt:lpstr>
      <vt:lpstr>Sheet2</vt:lpstr>
      <vt:lpstr>Sheet1</vt:lpstr>
      <vt:lpstr>note_names</vt:lpstr>
      <vt:lpstr>Sheet3!Print_Area</vt:lpstr>
      <vt:lpstr>Sheet4!Print_Area</vt:lpstr>
      <vt:lpstr>source_cells</vt:lpstr>
    </vt:vector>
  </TitlesOfParts>
  <Company>NATO Communications and Information Agency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HQ SACT | ARGIOLAS Gillian</dc:creator>
  <cp:lastModifiedBy>Gillian Argiolas</cp:lastModifiedBy>
  <cp:lastPrinted>2024-01-13T23:05:31Z</cp:lastPrinted>
  <dcterms:created xsi:type="dcterms:W3CDTF">2024-01-12T13:31:10Z</dcterms:created>
  <dcterms:modified xsi:type="dcterms:W3CDTF">2024-01-22T03:50:19Z</dcterms:modified>
</cp:coreProperties>
</file>